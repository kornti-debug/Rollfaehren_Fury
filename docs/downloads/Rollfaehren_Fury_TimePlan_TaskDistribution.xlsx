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uki\Desktop\Rollfaehren_Fury\docs\downloads\"/>
    </mc:Choice>
  </mc:AlternateContent>
  <bookViews>
    <workbookView xWindow="0" yWindow="0" windowWidth="38400" windowHeight="17730" activeTab="2"/>
  </bookViews>
  <sheets>
    <sheet name="Overview" sheetId="1" r:id="rId1"/>
    <sheet name="Time Plan" sheetId="2" r:id="rId2"/>
    <sheet name="Task Distribution" sheetId="3" r:id="rId3"/>
  </sheets>
  <calcPr calcId="162913"/>
</workbook>
</file>

<file path=xl/calcChain.xml><?xml version="1.0" encoding="utf-8"?>
<calcChain xmlns="http://schemas.openxmlformats.org/spreadsheetml/2006/main">
  <c r="Z24" i="2" l="1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G9" i="1"/>
  <c r="G8" i="1"/>
  <c r="H8" i="1" s="1"/>
  <c r="G7" i="1"/>
  <c r="G6" i="1"/>
  <c r="G5" i="1"/>
  <c r="H7" i="1" s="1"/>
  <c r="H6" i="1" l="1"/>
  <c r="H9" i="1"/>
</calcChain>
</file>

<file path=xl/sharedStrings.xml><?xml version="1.0" encoding="utf-8"?>
<sst xmlns="http://schemas.openxmlformats.org/spreadsheetml/2006/main" count="681" uniqueCount="294">
  <si>
    <t>ROLLFÄHREN FURY · FINAL PROJECT PLAN</t>
  </si>
  <si>
    <t>Time plan and task distribution · final-ready project record · June 10-26, 2026</t>
  </si>
  <si>
    <t>TEAM RESPONSIBILITIES</t>
  </si>
  <si>
    <t>PROJECT STATUS</t>
  </si>
  <si>
    <t>Member</t>
  </si>
  <si>
    <t>Primary responsibilities</t>
  </si>
  <si>
    <t>Final focus</t>
  </si>
  <si>
    <t>Evidence in repository</t>
  </si>
  <si>
    <t>Tracked tasks</t>
  </si>
  <si>
    <t>100%</t>
  </si>
  <si>
    <t>Lukas</t>
  </si>
  <si>
    <t>Unity, coding, integration, environment, documentation</t>
  </si>
  <si>
    <t>Game flow, ferry movement, terrain/shop integration, build fixes, docs/ePortfolio</t>
  </si>
  <si>
    <t>GameManager, SceneFlow, FerryController, terrain, Wwise runtime, docs</t>
  </si>
  <si>
    <t>Completed</t>
  </si>
  <si>
    <t>Max</t>
  </si>
  <si>
    <t>Unity coding, weapons, shop, augments, HUD</t>
  </si>
  <si>
    <t>Weapon progression, node/shop systems, augment design, gameplay balancing</t>
  </si>
  <si>
    <t>WeaponSystem, ShopManager, AugmentSystem, HUD, enemy balancing</t>
  </si>
  <si>
    <t>Final QA</t>
  </si>
  <si>
    <t>Philip</t>
  </si>
  <si>
    <t>Blender modelling, rigging, texturing, animation, Unity assets</t>
  </si>
  <si>
    <t>Fraunz, ferry, enemies, props, shop/scene assets, animation polish</t>
  </si>
  <si>
    <t>Fraunz, fish, pigeon, ferry, jetty, mirror, shop props</t>
  </si>
  <si>
    <t>In progress</t>
  </si>
  <si>
    <t>Istvan</t>
  </si>
  <si>
    <t>Wwise, sound design, audio integration</t>
  </si>
  <si>
    <t>Source audio, Wwise authoring, events, banks, music and gameplay sound design</t>
  </si>
  <si>
    <t>Wwise work units, soundbanks, footsteps, music, enemy/ferry sounds</t>
  </si>
  <si>
    <t>Planned</t>
  </si>
  <si>
    <t>FINAL DELIVERABLES</t>
  </si>
  <si>
    <t>Deliverable</t>
  </si>
  <si>
    <t>Owner</t>
  </si>
  <si>
    <t>Status</t>
  </si>
  <si>
    <t>Evidence / file</t>
  </si>
  <si>
    <t>Submission folder</t>
  </si>
  <si>
    <t>Target finish</t>
  </si>
  <si>
    <t>Risk</t>
  </si>
  <si>
    <t>Notes</t>
  </si>
  <si>
    <t>Unity source project</t>
  </si>
  <si>
    <t>GitHub repository / ProjectName_Source.zip</t>
  </si>
  <si>
    <t>Application</t>
  </si>
  <si>
    <t>Low</t>
  </si>
  <si>
    <t>Main branch contains final gameplay, assets, docs and Wwise settings</t>
  </si>
  <si>
    <t>Executable binary</t>
  </si>
  <si>
    <t>Lukas / Max</t>
  </si>
  <si>
    <t>ProjectName_Binary.zip</t>
  </si>
  <si>
    <t>Medium</t>
  </si>
  <si>
    <t>Standalone sound initialization fixed; final package test before upload</t>
  </si>
  <si>
    <t>ePortfolio</t>
  </si>
  <si>
    <t>docs/index.html / GitHub Pages</t>
  </si>
  <si>
    <t>Documentation</t>
  </si>
  <si>
    <t>Feature description, system design, infrastructure and run guideline</t>
  </si>
  <si>
    <t>Time plan and task distribution</t>
  </si>
  <si>
    <t>Rollfaehren_Fury_TimePlan_TaskDistribution.xlsx</t>
  </si>
  <si>
    <t>Final-ready editable workbook</t>
  </si>
  <si>
    <t>Markdown C#/CG report</t>
  </si>
  <si>
    <t>Documentation report</t>
  </si>
  <si>
    <t>Bézier ferry movement procedure</t>
  </si>
  <si>
    <t>Final presentation</t>
  </si>
  <si>
    <t>Lukas / All</t>
  </si>
  <si>
    <t>Presentation PPTX</t>
  </si>
  <si>
    <t>Presentation</t>
  </si>
  <si>
    <t>15-minute structure with live demo</t>
  </si>
  <si>
    <t>Promotion image</t>
  </si>
  <si>
    <t>Philip / All</t>
  </si>
  <si>
    <t>2400x1800 PNG</t>
  </si>
  <si>
    <t>Promotion</t>
  </si>
  <si>
    <t>Use final gameplay screenshot</t>
  </si>
  <si>
    <t>Promotion video</t>
  </si>
  <si>
    <t>All</t>
  </si>
  <si>
    <t>5-minute MP4</t>
  </si>
  <si>
    <t>Record after final build and audio check</t>
  </si>
  <si>
    <t>Final submission package</t>
  </si>
  <si>
    <t>ProjectName_GroupID.zip</t>
  </si>
  <si>
    <t>eCampus</t>
  </si>
  <si>
    <t>Assemble after final binary/media/report review</t>
  </si>
  <si>
    <t>WORKFLOW AND SOURCES</t>
  </si>
  <si>
    <t>Actual work packages are based on Git history, pull requests, scene branches, Wwise work units, and final repository documentation. Author aliases are normalized for readability: kornti-debug = Lukas, Max/Maximilian Schön = Max, Philip/Philip Mayrhofer = Philip, Ist1Code = Istvan.</t>
  </si>
  <si>
    <t>The workbook remains editable: dates, owner assignments and statuses can be adjusted if the final eCampus package changes after the last build test.</t>
  </si>
  <si>
    <t>Repository: https://github.com/kornti-debug/Rollfaehren_Fury · ePortfolio: https://kornti-debug.github.io/Rollfaehren_Fury/</t>
  </si>
  <si>
    <t>ROLLFÄHREN FURY · FINAL TIME PLAN</t>
  </si>
  <si>
    <t>Actual and final-QA project timeline from June 10-26, 2026</t>
  </si>
  <si>
    <t>Gantt timeline</t>
  </si>
  <si>
    <t>Phase</t>
  </si>
  <si>
    <t>Work package</t>
  </si>
  <si>
    <t>Primary</t>
  </si>
  <si>
    <t>Support</t>
  </si>
  <si>
    <t>Start</t>
  </si>
  <si>
    <t>End</t>
  </si>
  <si>
    <t>Foundation</t>
  </si>
  <si>
    <t>Concept, scope, and GitHub setup</t>
  </si>
  <si>
    <t>Shared Unity repository and project direction</t>
  </si>
  <si>
    <t>Kickoff concept, GitHub/LFS, clean Unity baseline</t>
  </si>
  <si>
    <t>Unity URP and Wwise baseline</t>
  </si>
  <si>
    <t>Unity 6000.3.6f1 + Wwise integration</t>
  </si>
  <si>
    <t>URP project, Wwise Unity package, generated banks local</t>
  </si>
  <si>
    <t>Documentation and team workflow</t>
  </si>
  <si>
    <t>README, AGENTS, setup and architecture docs</t>
  </si>
  <si>
    <t>AI/team workflow and rollback-friendly branch process</t>
  </si>
  <si>
    <t>Gameplay</t>
  </si>
  <si>
    <t>First playable FPS ferry-defense loop</t>
  </si>
  <si>
    <t>Movement, shooting, enemies, ferry health</t>
  </si>
  <si>
    <t>MVP proved the core loop with placeholders</t>
  </si>
  <si>
    <t>Input, bootstrap, menu, pause, and states</t>
  </si>
  <si>
    <t>Bootstrap/Menu/Main flow and game states</t>
  </si>
  <si>
    <t>Preparation, Playing, Augment Draft, Pause, Game Over</t>
  </si>
  <si>
    <t>Weapons, shop, upgrades, and augments</t>
  </si>
  <si>
    <t>Four weapons, chained unlocks, upgrades, augments</t>
  </si>
  <si>
    <t>Harpoon start, unlock progression, balance pass</t>
  </si>
  <si>
    <t>Physical ferry crossing and start console</t>
  </si>
  <si>
    <t>Alternating dock-to-dock ferry route</t>
  </si>
  <si>
    <t>Cubic Bézier route, player platform displacement</t>
  </si>
  <si>
    <t>World</t>
  </si>
  <si>
    <t>Terrain, river, shop houses, and environment</t>
  </si>
  <si>
    <t>Playable Danube-style river scene</t>
  </si>
  <si>
    <t>TerrainData/LFS, water shader, trees, rocks, shore houses</t>
  </si>
  <si>
    <t>3D/Animation</t>
  </si>
  <si>
    <t>Characters, enemies, ferry, and props</t>
  </si>
  <si>
    <t>Self-made 3D assets integrated in Unity</t>
  </si>
  <si>
    <t>Enemy spawning, swarms, and balancing</t>
  </si>
  <si>
    <t>Scalable fish/pigeon encounters</t>
  </si>
  <si>
    <t>Forward spawn arcs, weights, speed/size variation</t>
  </si>
  <si>
    <t>Audio</t>
  </si>
  <si>
    <t>Wwise authoring and source audio</t>
  </si>
  <si>
    <t>Events, containers, banks, music, SFX</t>
  </si>
  <si>
    <t>Footsteps, weapons, UI, ferry, enemy, shop and title audio</t>
  </si>
  <si>
    <t>Unity audio wiring and build fixes</t>
  </si>
  <si>
    <t>Runtime audio hooks and standalone sound fix</t>
  </si>
  <si>
    <t>Banks, RTPCs, settings, initialization, build copy</t>
  </si>
  <si>
    <t>Integration</t>
  </si>
  <si>
    <t>Shared additive shop scene</t>
  </si>
  <si>
    <t>ShopInterior scene with persistent run state</t>
  </si>
  <si>
    <t>Both shore doors enter the same interior and return correctly</t>
  </si>
  <si>
    <t>UI</t>
  </si>
  <si>
    <t>Hazard-style responsive UI overhaul</t>
  </si>
  <si>
    <t>Menu, HUD, shop, augment, pause, game over UI</t>
  </si>
  <si>
    <t>Readable cards, settings, Wwise hover/click feedback</t>
  </si>
  <si>
    <t>Final branch merges and scene conflict repair</t>
  </si>
  <si>
    <t>Stable main branch with assets/audio/UI</t>
  </si>
  <si>
    <t>Scene, TerrainData, Blender assets, Wwise work units</t>
  </si>
  <si>
    <t>ePortfolio, user guideline, and project docs</t>
  </si>
  <si>
    <t>Updated GitHub Pages and repository docs</t>
  </si>
  <si>
    <t>Feature description, system design, infrastructure, run instructions</t>
  </si>
  <si>
    <t>C#/computer-graphics procedure report</t>
  </si>
  <si>
    <t>Markdown report candidate: ferry movement</t>
  </si>
  <si>
    <t>Self-implemented Bézier ferry procedure explained</t>
  </si>
  <si>
    <t>Delivery</t>
  </si>
  <si>
    <t>Presentation, demo script, and promotion media</t>
  </si>
  <si>
    <t>Final slides, demo plan, image/video material</t>
  </si>
  <si>
    <t>Presentation follows course timing requirements</t>
  </si>
  <si>
    <t>Executable build, fresh-machine test, and package</t>
  </si>
  <si>
    <t>Max, Istvan</t>
  </si>
  <si>
    <t>Source ZIP, binary ZIP, final submission package</t>
  </si>
  <si>
    <t>Wwise banks copy and initialization verified before packaging</t>
  </si>
  <si>
    <t>ROLLFÄHREN FURY · FINAL TASK DISTRIBUTION</t>
  </si>
  <si>
    <t>Balanced work-package view grouped by Unity, 3D, Wwise, integration, documentation and delivery</t>
  </si>
  <si>
    <t>Task</t>
  </si>
  <si>
    <t>Primary Owner</t>
  </si>
  <si>
    <t>Supporting Members</t>
  </si>
  <si>
    <t>Planned Start</t>
  </si>
  <si>
    <t>Planned End</t>
  </si>
  <si>
    <t>Actual Finish</t>
  </si>
  <si>
    <t>Define vertical-slice scope and project identity</t>
  </si>
  <si>
    <t>Kickoff concept and project pitch</t>
  </si>
  <si>
    <t>Rollfähren Fury: FPS ferry defense on the Danube</t>
  </si>
  <si>
    <t>Create Unity URP project and GitHub repository</t>
  </si>
  <si>
    <t>Shared Unity repository</t>
  </si>
  <si>
    <t>Unity 6000.3.6f1, URP, Git LFS</t>
  </si>
  <si>
    <t>Configure ignore/LFS rules and repo documentation</t>
  </si>
  <si>
    <t>AGENTS, README, setup docs</t>
  </si>
  <si>
    <t>Rules for Unity scenes, meta files, Wwise and LFS</t>
  </si>
  <si>
    <t>Integrate Wwise Unity package baseline</t>
  </si>
  <si>
    <t>Wwise-ready Unity project</t>
  </si>
  <si>
    <t>Generated SoundBanks remain local</t>
  </si>
  <si>
    <t>Unity/Coding</t>
  </si>
  <si>
    <t>Implement Bootstrap, Menu, Main, and Shop scene flow</t>
  </si>
  <si>
    <t>Bootstrap/Menu/Main/ShopInterior scenes</t>
  </si>
  <si>
    <t>SceneFlow and additive shop transition</t>
  </si>
  <si>
    <t>Implement Input System based player controller</t>
  </si>
  <si>
    <t>SimpleFPSController</t>
  </si>
  <si>
    <t>WASD, look, sprint, jump, interact and attack flow</t>
  </si>
  <si>
    <t>Implement GameManager states and round loop</t>
  </si>
  <si>
    <t>Preparation/Playing/Augment/GameOver loop</t>
  </si>
  <si>
    <t>Coordinates HUD, enemies, ferry, weapons and shop</t>
  </si>
  <si>
    <t>Implement physical ferry movement procedure</t>
  </si>
  <si>
    <t>FerryController</t>
  </si>
  <si>
    <t>Cubic Bézier route, sampled length, tangent rotation</t>
  </si>
  <si>
    <t>Keep player stable on moving ferry</t>
  </si>
  <si>
    <t>Platform displacement logic</t>
  </si>
  <si>
    <t>Player moves with ferry translation and rotation</t>
  </si>
  <si>
    <t>Implement ferry console and interactables</t>
  </si>
  <si>
    <t>Round console, shop doors, mirror, NPC</t>
  </si>
  <si>
    <t>E-based interactions and prompts</t>
  </si>
  <si>
    <t>Implement enemy health, damage and ferry contact</t>
  </si>
  <si>
    <t>Health and SimpleEnemy behavior</t>
  </si>
  <si>
    <t>Enemies damage ferry on contact and despawn</t>
  </si>
  <si>
    <t>Implement scalable EnemySpawner</t>
  </si>
  <si>
    <t>Fish/pigeon waves</t>
  </si>
  <si>
    <t>Forward arcs, spawn weights, size/speed variation</t>
  </si>
  <si>
    <t>Implement WeaponSystem ownership and switching</t>
  </si>
  <si>
    <t>Harpoon, pistol, shotgun, rifle progression</t>
  </si>
  <si>
    <t>Locked weapons skipped until bought</t>
  </si>
  <si>
    <t>Implement projectile and weapon viewmodel setup</t>
  </si>
  <si>
    <t>Weapon visuals and projectile behavior</t>
  </si>
  <si>
    <t>Firing, reload, ammo and HUD hooks</t>
  </si>
  <si>
    <t>Implement ShopManager upgrades</t>
  </si>
  <si>
    <t>Weapon upgrade shop</t>
  </si>
  <si>
    <t>Damage, fire rate, reload, extra magazine, refill</t>
  </si>
  <si>
    <t>Implement AugmentSystem and round modifiers</t>
  </si>
  <si>
    <t>Three-choice augment draft</t>
  </si>
  <si>
    <t>Bilge pump, bounty, hull, swarm, tide, exploding shot</t>
  </si>
  <si>
    <t>Implement pause menu and persistent settings</t>
  </si>
  <si>
    <t>Pause/settings panels</t>
  </si>
  <si>
    <t>PlayerPrefs for volume and mouse sensitivity</t>
  </si>
  <si>
    <t>Rebuild HUD, shop, augment and game-over UI</t>
  </si>
  <si>
    <t>Hazard-sign UI overhaul</t>
  </si>
  <si>
    <t>Compact HUD, readable shop cards and augment cards</t>
  </si>
  <si>
    <t>Model, rig and texture Captain Fraunz</t>
  </si>
  <si>
    <t>Humanoid player character</t>
  </si>
  <si>
    <t>Self-made character with Unity integration</t>
  </si>
  <si>
    <t>Create Fraunz idle, walk and action animation coverage</t>
  </si>
  <si>
    <t>Required humanoid animation set</t>
  </si>
  <si>
    <t>Final timing/import check before hand-in</t>
  </si>
  <si>
    <t>Model and texture ferry</t>
  </si>
  <si>
    <t>Playable ferry model</t>
  </si>
  <si>
    <t>Deck, house, guardrails, colliders and materials</t>
  </si>
  <si>
    <t>Create fish enemy model, rig, texture and animation</t>
  </si>
  <si>
    <t>Radioactive Kremser Carp prefab</t>
  </si>
  <si>
    <t>Water enemy integrated with gameplay</t>
  </si>
  <si>
    <t>Create pigeon enemy model, rig, texture and animation</t>
  </si>
  <si>
    <t>Cursed Pöltener Pigeon prefab</t>
  </si>
  <si>
    <t>Flying and dive animation integrated</t>
  </si>
  <si>
    <t>Model scene props and gameplay objects</t>
  </si>
  <si>
    <t>Jetty, shop house, mirror, props</t>
  </si>
  <si>
    <t>Self-made and optimized imported props mixed as needed</t>
  </si>
  <si>
    <t>World/Integration</t>
  </si>
  <si>
    <t>Create terrain, riverbed, water surface and shore painting</t>
  </si>
  <si>
    <t>Playable river environment</t>
  </si>
  <si>
    <t>TerrainData tracked correctly through Git LFS</t>
  </si>
  <si>
    <t>Decorate shore and shop interior</t>
  </si>
  <si>
    <t>Trees, rocks, shop props and room layout</t>
  </si>
  <si>
    <t>Final environment polish for demo readability</t>
  </si>
  <si>
    <t>Implement shared additive shop transition</t>
  </si>
  <si>
    <t>ShopSceneCoordinator</t>
  </si>
  <si>
    <t>Main stays loaded so money, weapons and ferry state persist</t>
  </si>
  <si>
    <t>Resolve scene, TerrainData and asset merge conflicts</t>
  </si>
  <si>
    <t>Stable main branch integration</t>
  </si>
  <si>
    <t>Unity scenes and Wwise work units merged carefully</t>
  </si>
  <si>
    <t>Audio/Wwise</t>
  </si>
  <si>
    <t>Collect and edit source audio</t>
  </si>
  <si>
    <t>Footsteps, weapons, ferry, enemy, UI and music assets</t>
  </si>
  <si>
    <t>Sources edited and imported into Wwise</t>
  </si>
  <si>
    <t>Author Wwise containers, events, buses and banks</t>
  </si>
  <si>
    <t>Main/Outdoor/Indoor banks</t>
  </si>
  <si>
    <t>Events for title, music, SFX, doors, enemies and weapons</t>
  </si>
  <si>
    <t>Wire Wwise runtime into Unity</t>
  </si>
  <si>
    <t>WwiseAudioRuntime and event hooks</t>
  </si>
  <si>
    <t>Music states, RTPC settings and guarded event posts</t>
  </si>
  <si>
    <t>Implement surface-based footsteps</t>
  </si>
  <si>
    <t>Wood, gravel and grass footsteps</t>
  </si>
  <si>
    <t>Tags and terrain layers choose SurfaceType</t>
  </si>
  <si>
    <t>Add weapon, reload, UI and door audio</t>
  </si>
  <si>
    <t>Functional gameplay feedback</t>
  </si>
  <si>
    <t>Shotgun fire/reload split and menu/title audio</t>
  </si>
  <si>
    <t>Add ferry, enemy and proximity audio polish</t>
  </si>
  <si>
    <t>Engine, waves, Stuka, Geiger, hit/death sounds</t>
  </si>
  <si>
    <t>Spatial emitters and nearest-fish detector behavior</t>
  </si>
  <si>
    <t>Fix Wwise authoring/build playback issues</t>
  </si>
  <si>
    <t>Volume defaults and standalone initialization</t>
  </si>
  <si>
    <t>RTPC defaults 100 and preload init settings</t>
  </si>
  <si>
    <t>Update GitHub Pages ePortfolio</t>
  </si>
  <si>
    <t>Feature, system design and infrastructure pages</t>
  </si>
  <si>
    <t>Final run guideline and project evidence</t>
  </si>
  <si>
    <t>Maintain architecture, design, setup, Wwise and TODO docs</t>
  </si>
  <si>
    <t>Repository knowledge base</t>
  </si>
  <si>
    <t>Docs updated with implemented behavior</t>
  </si>
  <si>
    <t>Create final time plan and task distribution workbook</t>
  </si>
  <si>
    <t>This workbook</t>
  </si>
  <si>
    <t>Final-ready task and timeline record</t>
  </si>
  <si>
    <t>Prepare C#/computer-graphics procedure report</t>
  </si>
  <si>
    <t>Markdown report</t>
  </si>
  <si>
    <t>Bézier ferry movement selected as automatic procedure</t>
  </si>
  <si>
    <t>Prepare final presentation and live-demo script</t>
  </si>
  <si>
    <t>15-minute presentation</t>
  </si>
  <si>
    <t>Slides cover Unity, audio, 3D, C#/CG and challenges</t>
  </si>
  <si>
    <t>Create promotion image and five-minute video</t>
  </si>
  <si>
    <t>PNG screenshot and MP4</t>
  </si>
  <si>
    <t>Final media checked against submission requirements</t>
  </si>
  <si>
    <t>Build executable and test on fresh machine</t>
  </si>
  <si>
    <t>Binary ZIP</t>
  </si>
  <si>
    <t>SoundBanks copied and initialized in standalone build</t>
  </si>
  <si>
    <t>Package source, binary, documentation, presentation and promotion</t>
  </si>
  <si>
    <t>Final eCampus upload package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</si>
</sst>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dd"/>
  </numFmts>
  <fonts count="6">
    <font>
      <sz val="11"/>
      <name val="Carlito"/>
    </font>
    <font>
      <b/>
      <sz val="9"/>
      <color rgb="FF111C25"/>
      <name val="Aptos"/>
    </font>
    <font>
      <sz val="9"/>
      <color rgb="FF111C25"/>
      <name val="Aptos"/>
    </font>
    <font>
      <b/>
      <sz val="18"/>
      <color rgb="FFEDF7F5"/>
      <name val="Aptos"/>
    </font>
    <font>
      <i/>
      <sz val="10"/>
      <color rgb="FFEDF7F5"/>
      <name val="Aptos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11C25"/>
      </patternFill>
    </fill>
    <fill>
      <patternFill patternType="solid">
        <fgColor rgb="FF172833"/>
      </patternFill>
    </fill>
    <fill>
      <patternFill patternType="solid">
        <fgColor rgb="FF0A3D4A"/>
      </patternFill>
    </fill>
    <fill>
      <patternFill patternType="solid">
        <fgColor rgb="FFFFB627"/>
      </patternFill>
    </fill>
    <fill>
      <patternFill patternType="solid">
        <fgColor rgb="FFFFFFFF"/>
      </patternFill>
    </fill>
    <fill>
      <patternFill patternType="solid">
        <fgColor rgb="FFE6F3F0"/>
      </patternFill>
    </fill>
    <fill>
      <patternFill patternType="solid">
        <fgColor rgb="FFF5FAF9"/>
      </patternFill>
    </fill>
  </fills>
  <borders count="16">
    <border>
      <left/>
      <right/>
      <top/>
      <bottom/>
      <diagonal/>
    </border>
    <border>
      <left style="thin">
        <color rgb="FF111C25"/>
      </left>
      <right style="thin">
        <color rgb="FF111C25"/>
      </right>
      <top style="thin">
        <color rgb="FF111C25"/>
      </top>
      <bottom style="thin">
        <color rgb="FF111C25"/>
      </bottom>
      <diagonal/>
    </border>
    <border>
      <left/>
      <right style="thin">
        <color rgb="FFB7C9C5"/>
      </right>
      <top/>
      <bottom style="thin">
        <color rgb="FFB7C9C5"/>
      </bottom>
      <diagonal/>
    </border>
    <border>
      <left style="thin">
        <color rgb="FFB7C9C5"/>
      </left>
      <right style="thin">
        <color rgb="FFB7C9C5"/>
      </right>
      <top/>
      <bottom style="thin">
        <color rgb="FFB7C9C5"/>
      </bottom>
      <diagonal/>
    </border>
    <border>
      <left style="thin">
        <color rgb="FFB7C9C5"/>
      </left>
      <right/>
      <top/>
      <bottom style="thin">
        <color rgb="FFB7C9C5"/>
      </bottom>
      <diagonal/>
    </border>
    <border>
      <left/>
      <right style="thin">
        <color rgb="FFB7C9C5"/>
      </right>
      <top style="thin">
        <color rgb="FFB7C9C5"/>
      </top>
      <bottom style="thin">
        <color rgb="FFB7C9C5"/>
      </bottom>
      <diagonal/>
    </border>
    <border>
      <left style="thin">
        <color rgb="FFB7C9C5"/>
      </left>
      <right style="thin">
        <color rgb="FFB7C9C5"/>
      </right>
      <top style="thin">
        <color rgb="FFB7C9C5"/>
      </top>
      <bottom style="thin">
        <color rgb="FFB7C9C5"/>
      </bottom>
      <diagonal/>
    </border>
    <border>
      <left style="thin">
        <color rgb="FFB7C9C5"/>
      </left>
      <right/>
      <top style="thin">
        <color rgb="FFB7C9C5"/>
      </top>
      <bottom style="thin">
        <color rgb="FFB7C9C5"/>
      </bottom>
      <diagonal/>
    </border>
    <border>
      <left/>
      <right style="thin">
        <color rgb="FFB7C9C5"/>
      </right>
      <top style="thin">
        <color rgb="FFB7C9C5"/>
      </top>
      <bottom/>
      <diagonal/>
    </border>
    <border>
      <left style="thin">
        <color rgb="FFB7C9C5"/>
      </left>
      <right style="thin">
        <color rgb="FFB7C9C5"/>
      </right>
      <top style="thin">
        <color rgb="FFB7C9C5"/>
      </top>
      <bottom/>
      <diagonal/>
    </border>
    <border>
      <left style="thin">
        <color rgb="FFB7C9C5"/>
      </left>
      <right/>
      <top style="thin">
        <color rgb="FFB7C9C5"/>
      </top>
      <bottom/>
      <diagonal/>
    </border>
    <border>
      <left/>
      <right/>
      <top style="thin">
        <color rgb="FFB7C9C5"/>
      </top>
      <bottom/>
      <diagonal/>
    </border>
    <border>
      <left style="thin">
        <color rgb="FFB7C9C5"/>
      </left>
      <right/>
      <top/>
      <bottom/>
      <diagonal/>
    </border>
    <border>
      <left/>
      <right style="thin">
        <color rgb="FFB7C9C5"/>
      </right>
      <top/>
      <bottom/>
      <diagonal/>
    </border>
    <border>
      <left/>
      <right/>
      <top/>
      <bottom style="thin">
        <color rgb="FFB7C9C5"/>
      </bottom>
      <diagonal/>
    </border>
    <border>
      <left style="thin">
        <color rgb="FFD7E5E2"/>
      </left>
      <right style="thin">
        <color rgb="FFD7E5E2"/>
      </right>
      <top style="thin">
        <color rgb="FFD7E5E2"/>
      </top>
      <bottom style="thin">
        <color rgb="FFD7E5E2"/>
      </bottom>
      <diagonal/>
    </border>
  </borders>
  <cellStyleXfs count="2">
    <xf numFmtId="0" fontId="0" fillId="0" borderId="0"/>
    <xf numFmtId="0" fontId="5" fillId="0" borderId="0"/>
  </cellStyleXfs>
  <cellXfs count="32">
    <xf numFmtId="0" fontId="0" fillId="0" borderId="0" xfId="0"/>
    <xf numFmtId="0" fontId="2" fillId="0" borderId="0" xfId="1" applyNumberFormat="1" applyFont="1" applyFill="1" applyBorder="1"/>
    <xf numFmtId="0" fontId="1" fillId="5" borderId="1" xfId="1" applyNumberFormat="1" applyFont="1" applyFill="1" applyBorder="1" applyAlignment="1">
      <alignment horizontal="center" vertical="center" wrapText="1"/>
    </xf>
    <xf numFmtId="0" fontId="1" fillId="7" borderId="6" xfId="1" applyNumberFormat="1" applyFont="1" applyFill="1" applyBorder="1"/>
    <xf numFmtId="0" fontId="2" fillId="6" borderId="2" xfId="1" applyNumberFormat="1" applyFont="1" applyFill="1" applyBorder="1" applyAlignment="1">
      <alignment vertical="top" wrapText="1"/>
    </xf>
    <xf numFmtId="0" fontId="2" fillId="6" borderId="3" xfId="1" applyNumberFormat="1" applyFont="1" applyFill="1" applyBorder="1" applyAlignment="1">
      <alignment vertical="top" wrapText="1"/>
    </xf>
    <xf numFmtId="0" fontId="2" fillId="6" borderId="4" xfId="1" applyNumberFormat="1" applyFont="1" applyFill="1" applyBorder="1" applyAlignment="1">
      <alignment vertical="top" wrapText="1"/>
    </xf>
    <xf numFmtId="9" fontId="1" fillId="7" borderId="6" xfId="1" applyNumberFormat="1" applyFont="1" applyFill="1" applyBorder="1"/>
    <xf numFmtId="0" fontId="2" fillId="6" borderId="5" xfId="1" applyNumberFormat="1" applyFont="1" applyFill="1" applyBorder="1" applyAlignment="1">
      <alignment vertical="top" wrapText="1"/>
    </xf>
    <xf numFmtId="0" fontId="2" fillId="6" borderId="6" xfId="1" applyNumberFormat="1" applyFont="1" applyFill="1" applyBorder="1" applyAlignment="1">
      <alignment vertical="top" wrapText="1"/>
    </xf>
    <xf numFmtId="0" fontId="2" fillId="6" borderId="7" xfId="1" applyNumberFormat="1" applyFont="1" applyFill="1" applyBorder="1" applyAlignment="1">
      <alignment vertical="top" wrapText="1"/>
    </xf>
    <xf numFmtId="0" fontId="2" fillId="6" borderId="8" xfId="1" applyNumberFormat="1" applyFont="1" applyFill="1" applyBorder="1" applyAlignment="1">
      <alignment vertical="top" wrapText="1"/>
    </xf>
    <xf numFmtId="0" fontId="2" fillId="6" borderId="9" xfId="1" applyNumberFormat="1" applyFont="1" applyFill="1" applyBorder="1" applyAlignment="1">
      <alignment vertical="top" wrapText="1"/>
    </xf>
    <xf numFmtId="0" fontId="2" fillId="6" borderId="10" xfId="1" applyNumberFormat="1" applyFont="1" applyFill="1" applyBorder="1" applyAlignment="1">
      <alignment vertical="top" wrapText="1"/>
    </xf>
    <xf numFmtId="164" fontId="2" fillId="6" borderId="3" xfId="1" applyNumberFormat="1" applyFont="1" applyFill="1" applyBorder="1" applyAlignment="1">
      <alignment vertical="top" wrapText="1"/>
    </xf>
    <xf numFmtId="164" fontId="2" fillId="6" borderId="6" xfId="1" applyNumberFormat="1" applyFont="1" applyFill="1" applyBorder="1" applyAlignment="1">
      <alignment vertical="top" wrapText="1"/>
    </xf>
    <xf numFmtId="164" fontId="2" fillId="6" borderId="9" xfId="1" applyNumberFormat="1" applyFont="1" applyFill="1" applyBorder="1" applyAlignment="1">
      <alignment vertical="top" wrapText="1"/>
    </xf>
    <xf numFmtId="165" fontId="1" fillId="5" borderId="1" xfId="1" applyNumberFormat="1" applyFont="1" applyFill="1" applyBorder="1" applyAlignment="1">
      <alignment horizontal="center" vertical="center" wrapText="1"/>
    </xf>
    <xf numFmtId="0" fontId="1" fillId="8" borderId="15" xfId="1" applyNumberFormat="1" applyFont="1" applyFill="1" applyBorder="1" applyAlignment="1">
      <alignment horizontal="center" vertical="center"/>
    </xf>
    <xf numFmtId="0" fontId="3" fillId="2" borderId="0" xfId="1" applyNumberFormat="1" applyFont="1" applyFill="1" applyBorder="1" applyAlignment="1">
      <alignment horizontal="left" vertical="center"/>
    </xf>
    <xf numFmtId="0" fontId="4" fillId="3" borderId="0" xfId="1" applyNumberFormat="1" applyFont="1" applyFill="1" applyBorder="1" applyAlignment="1">
      <alignment horizontal="left" vertical="center"/>
    </xf>
    <xf numFmtId="0" fontId="1" fillId="4" borderId="0" xfId="1" applyNumberFormat="1" applyFont="1" applyFill="1" applyBorder="1" applyAlignment="1">
      <alignment horizontal="left"/>
    </xf>
    <xf numFmtId="0" fontId="2" fillId="7" borderId="10" xfId="1" applyNumberFormat="1" applyFont="1" applyFill="1" applyBorder="1" applyAlignment="1">
      <alignment wrapText="1"/>
    </xf>
    <xf numFmtId="0" fontId="2" fillId="7" borderId="11" xfId="1" applyNumberFormat="1" applyFont="1" applyFill="1" applyBorder="1" applyAlignment="1">
      <alignment wrapText="1"/>
    </xf>
    <xf numFmtId="0" fontId="2" fillId="7" borderId="8" xfId="1" applyNumberFormat="1" applyFont="1" applyFill="1" applyBorder="1" applyAlignment="1">
      <alignment wrapText="1"/>
    </xf>
    <xf numFmtId="0" fontId="2" fillId="7" borderId="12" xfId="1" applyNumberFormat="1" applyFont="1" applyFill="1" applyBorder="1" applyAlignment="1">
      <alignment wrapText="1"/>
    </xf>
    <xf numFmtId="0" fontId="2" fillId="7" borderId="0" xfId="1" applyNumberFormat="1" applyFont="1" applyFill="1" applyBorder="1" applyAlignment="1">
      <alignment wrapText="1"/>
    </xf>
    <xf numFmtId="0" fontId="2" fillId="7" borderId="13" xfId="1" applyNumberFormat="1" applyFont="1" applyFill="1" applyBorder="1" applyAlignment="1">
      <alignment wrapText="1"/>
    </xf>
    <xf numFmtId="0" fontId="2" fillId="7" borderId="4" xfId="1" applyNumberFormat="1" applyFont="1" applyFill="1" applyBorder="1" applyAlignment="1">
      <alignment wrapText="1"/>
    </xf>
    <xf numFmtId="0" fontId="2" fillId="7" borderId="14" xfId="1" applyNumberFormat="1" applyFont="1" applyFill="1" applyBorder="1" applyAlignment="1">
      <alignment wrapText="1"/>
    </xf>
    <xf numFmtId="0" fontId="2" fillId="7" borderId="2" xfId="1" applyNumberFormat="1" applyFont="1" applyFill="1" applyBorder="1" applyAlignment="1">
      <alignment wrapText="1"/>
    </xf>
    <xf numFmtId="0" fontId="1" fillId="4" borderId="0" xfId="1" applyNumberFormat="1" applyFont="1" applyFill="1" applyBorder="1" applyAlignment="1">
      <alignment horizontal="center"/>
    </xf>
  </cellXfs>
  <cellStyles count="2">
    <cellStyle name="Normal" xfId="1"/>
    <cellStyle name="Standard" xfId="0" builtinId="0"/>
  </cellStyles>
  <dxfs count="12">
    <dxf>
      <font>
        <b/>
        <color rgb="FF111C25"/>
      </font>
      <fill>
        <patternFill patternType="solid">
          <bgColor rgb="FFD9DEE0"/>
        </patternFill>
      </fill>
    </dxf>
    <dxf>
      <font>
        <b/>
        <color rgb="FF111C25"/>
      </font>
      <fill>
        <patternFill patternType="solid">
          <bgColor rgb="FFFFB627"/>
        </patternFill>
      </fill>
    </dxf>
    <dxf>
      <font>
        <b/>
        <color rgb="FF111C25"/>
      </font>
      <fill>
        <patternFill patternType="solid">
          <bgColor rgb="FF5DB7DE"/>
        </patternFill>
      </fill>
    </dxf>
    <dxf>
      <font>
        <b/>
        <color rgb="FF111C25"/>
      </font>
      <fill>
        <patternFill patternType="solid">
          <bgColor rgb="FF43C59E"/>
        </patternFill>
      </fill>
    </dxf>
    <dxf>
      <font>
        <b/>
        <color rgb="FF111C25"/>
      </font>
      <fill>
        <patternFill patternType="solid">
          <bgColor rgb="FFD9DEE0"/>
        </patternFill>
      </fill>
    </dxf>
    <dxf>
      <font>
        <b/>
        <color rgb="FF111C25"/>
      </font>
      <fill>
        <patternFill patternType="solid">
          <bgColor rgb="FFFFB627"/>
        </patternFill>
      </fill>
    </dxf>
    <dxf>
      <font>
        <b/>
        <color rgb="FF111C25"/>
      </font>
      <fill>
        <patternFill patternType="solid">
          <bgColor rgb="FF5DB7DE"/>
        </patternFill>
      </fill>
    </dxf>
    <dxf>
      <font>
        <b/>
        <color rgb="FF111C25"/>
      </font>
      <fill>
        <patternFill patternType="solid">
          <bgColor rgb="FF43C59E"/>
        </patternFill>
      </fill>
    </dxf>
    <dxf>
      <font>
        <b/>
        <color rgb="FF111C25"/>
      </font>
      <fill>
        <patternFill patternType="solid">
          <bgColor rgb="FFD9DEE0"/>
        </patternFill>
      </fill>
    </dxf>
    <dxf>
      <font>
        <b/>
        <color rgb="FF111C25"/>
      </font>
      <fill>
        <patternFill patternType="solid">
          <bgColor rgb="FFFFB627"/>
        </patternFill>
      </fill>
    </dxf>
    <dxf>
      <font>
        <b/>
        <color rgb="FF111C25"/>
      </font>
      <fill>
        <patternFill patternType="solid">
          <bgColor rgb="FF5DB7DE"/>
        </patternFill>
      </fill>
    </dxf>
    <dxf>
      <font>
        <b/>
        <color rgb="FF111C25"/>
      </font>
      <fill>
        <patternFill patternType="solid">
          <bgColor rgb="FF43C59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FinalTimePlanTable" displayName="FinalTimePlanTable" ref="A5:I24" totalsRowShown="0">
  <tableColumns count="9">
    <tableColumn id="1" name="Phase"/>
    <tableColumn id="2" name="Work package"/>
    <tableColumn id="3" name="Primary"/>
    <tableColumn id="4" name="Support"/>
    <tableColumn id="5" name="Status"/>
    <tableColumn id="6" name="Start"/>
    <tableColumn id="7" name="End"/>
    <tableColumn id="8" name="Deliverabl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lTaskDistributionTable" displayName="FinalTaskDistributionTable" ref="A5:J48" totalsRowShown="0">
  <tableColumns count="10">
    <tableColumn id="1" name="Phase"/>
    <tableColumn id="2" name="Task"/>
    <tableColumn id="3" name="Primary Owner"/>
    <tableColumn id="4" name="Supporting Members"/>
    <tableColumn id="5" name="Status"/>
    <tableColumn id="6" name="Planned Start"/>
    <tableColumn id="7" name="Planned End"/>
    <tableColumn id="8" name="Actual Finish"/>
    <tableColumn id="9" name="Deliverabl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showGridLines="0" workbookViewId="0">
      <selection sqref="A1:H1"/>
    </sheetView>
  </sheetViews>
  <sheetFormatPr baseColWidth="10" defaultColWidth="8.6640625" defaultRowHeight="14"/>
  <cols>
    <col min="1" max="1" width="20" customWidth="1"/>
    <col min="2" max="2" width="28" customWidth="1"/>
    <col min="3" max="3" width="30" customWidth="1"/>
    <col min="4" max="4" width="34" customWidth="1"/>
    <col min="5" max="5" width="22" customWidth="1"/>
    <col min="6" max="7" width="14" customWidth="1"/>
    <col min="8" max="8" width="28" customWidth="1"/>
  </cols>
  <sheetData>
    <row r="1" spans="1:8" ht="23">
      <c r="A1" s="19" t="s">
        <v>0</v>
      </c>
      <c r="B1" s="19" t="s">
        <v>0</v>
      </c>
      <c r="C1" s="19" t="s">
        <v>0</v>
      </c>
      <c r="D1" s="19" t="s">
        <v>0</v>
      </c>
      <c r="E1" s="19" t="s">
        <v>0</v>
      </c>
      <c r="F1" s="19" t="s">
        <v>0</v>
      </c>
      <c r="G1" s="19" t="s">
        <v>0</v>
      </c>
      <c r="H1" s="19" t="s">
        <v>0</v>
      </c>
    </row>
    <row r="2" spans="1:8">
      <c r="A2" s="20" t="s">
        <v>1</v>
      </c>
      <c r="B2" s="20" t="s">
        <v>1</v>
      </c>
      <c r="C2" s="20" t="s">
        <v>1</v>
      </c>
      <c r="D2" s="20" t="s">
        <v>1</v>
      </c>
      <c r="E2" s="20" t="s">
        <v>1</v>
      </c>
      <c r="F2" s="20" t="s">
        <v>1</v>
      </c>
      <c r="G2" s="20" t="s">
        <v>1</v>
      </c>
      <c r="H2" s="20" t="s">
        <v>1</v>
      </c>
    </row>
    <row r="3" spans="1:8">
      <c r="A3" s="1"/>
      <c r="B3" s="1"/>
      <c r="C3" s="1"/>
      <c r="D3" s="1"/>
      <c r="E3" s="1"/>
      <c r="F3" s="1"/>
      <c r="G3" s="1"/>
      <c r="H3" s="1"/>
    </row>
    <row r="4" spans="1:8">
      <c r="A4" s="21" t="s">
        <v>2</v>
      </c>
      <c r="B4" s="21" t="s">
        <v>2</v>
      </c>
      <c r="C4" s="21" t="s">
        <v>2</v>
      </c>
      <c r="D4" s="21" t="s">
        <v>2</v>
      </c>
      <c r="E4" s="1"/>
      <c r="F4" s="21" t="s">
        <v>3</v>
      </c>
      <c r="G4" s="21" t="s">
        <v>3</v>
      </c>
      <c r="H4" s="21" t="s">
        <v>3</v>
      </c>
    </row>
    <row r="5" spans="1:8">
      <c r="A5" s="2" t="s">
        <v>4</v>
      </c>
      <c r="B5" s="2" t="s">
        <v>5</v>
      </c>
      <c r="C5" s="2" t="s">
        <v>6</v>
      </c>
      <c r="D5" s="2" t="s">
        <v>7</v>
      </c>
      <c r="E5" s="1"/>
      <c r="F5" s="3" t="s">
        <v>8</v>
      </c>
      <c r="G5" s="3">
        <f>COUNTA('Task Distribution'!$B$6:$B$48)</f>
        <v>43</v>
      </c>
      <c r="H5" s="3" t="s">
        <v>9</v>
      </c>
    </row>
    <row r="6" spans="1:8" ht="23">
      <c r="A6" s="4" t="s">
        <v>10</v>
      </c>
      <c r="B6" s="5" t="s">
        <v>11</v>
      </c>
      <c r="C6" s="5" t="s">
        <v>12</v>
      </c>
      <c r="D6" s="6" t="s">
        <v>13</v>
      </c>
      <c r="E6" s="1"/>
      <c r="F6" s="3" t="s">
        <v>14</v>
      </c>
      <c r="G6" s="3">
        <f>COUNTIF('Task Distribution'!$E$6:$E$48,"Completed")</f>
        <v>37</v>
      </c>
      <c r="H6" s="7">
        <f>IF($G$5=0,0,G6/$G$5)</f>
        <v>0.86046511627906974</v>
      </c>
    </row>
    <row r="7" spans="1:8" ht="23">
      <c r="A7" s="8" t="s">
        <v>15</v>
      </c>
      <c r="B7" s="9" t="s">
        <v>16</v>
      </c>
      <c r="C7" s="9" t="s">
        <v>17</v>
      </c>
      <c r="D7" s="10" t="s">
        <v>18</v>
      </c>
      <c r="E7" s="1"/>
      <c r="F7" s="3" t="s">
        <v>19</v>
      </c>
      <c r="G7" s="3">
        <f>COUNTIF('Task Distribution'!$E$6:$E$48,"Final QA")</f>
        <v>6</v>
      </c>
      <c r="H7" s="7">
        <f>IF($G$5=0,0,G7/$G$5)</f>
        <v>0.13953488372093023</v>
      </c>
    </row>
    <row r="8" spans="1:8" ht="23">
      <c r="A8" s="8" t="s">
        <v>20</v>
      </c>
      <c r="B8" s="9" t="s">
        <v>21</v>
      </c>
      <c r="C8" s="9" t="s">
        <v>22</v>
      </c>
      <c r="D8" s="10" t="s">
        <v>23</v>
      </c>
      <c r="E8" s="1"/>
      <c r="F8" s="3" t="s">
        <v>24</v>
      </c>
      <c r="G8" s="3">
        <f>COUNTIF('Task Distribution'!$E$6:$E$48,"In Progress")</f>
        <v>0</v>
      </c>
      <c r="H8" s="7">
        <f>IF($G$5=0,0,G8/$G$5)</f>
        <v>0</v>
      </c>
    </row>
    <row r="9" spans="1:8" ht="23">
      <c r="A9" s="11" t="s">
        <v>25</v>
      </c>
      <c r="B9" s="12" t="s">
        <v>26</v>
      </c>
      <c r="C9" s="12" t="s">
        <v>27</v>
      </c>
      <c r="D9" s="13" t="s">
        <v>28</v>
      </c>
      <c r="E9" s="1"/>
      <c r="F9" s="3" t="s">
        <v>29</v>
      </c>
      <c r="G9" s="3">
        <f>COUNTIF('Task Distribution'!$E$6:$E$48,"Planned")</f>
        <v>0</v>
      </c>
      <c r="H9" s="7">
        <f>IF($G$5=0,0,G9/$G$5)</f>
        <v>0</v>
      </c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21" t="s">
        <v>30</v>
      </c>
      <c r="B12" s="21" t="s">
        <v>30</v>
      </c>
      <c r="C12" s="21" t="s">
        <v>30</v>
      </c>
      <c r="D12" s="21" t="s">
        <v>30</v>
      </c>
      <c r="E12" s="21" t="s">
        <v>30</v>
      </c>
      <c r="F12" s="21" t="s">
        <v>30</v>
      </c>
      <c r="G12" s="21" t="s">
        <v>30</v>
      </c>
      <c r="H12" s="21" t="s">
        <v>30</v>
      </c>
    </row>
    <row r="13" spans="1:8">
      <c r="A13" s="2" t="s">
        <v>31</v>
      </c>
      <c r="B13" s="2" t="s">
        <v>32</v>
      </c>
      <c r="C13" s="2" t="s">
        <v>33</v>
      </c>
      <c r="D13" s="2" t="s">
        <v>34</v>
      </c>
      <c r="E13" s="2" t="s">
        <v>35</v>
      </c>
      <c r="F13" s="2" t="s">
        <v>36</v>
      </c>
      <c r="G13" s="2" t="s">
        <v>37</v>
      </c>
      <c r="H13" s="2" t="s">
        <v>38</v>
      </c>
    </row>
    <row r="14" spans="1:8" ht="23">
      <c r="A14" s="4" t="s">
        <v>39</v>
      </c>
      <c r="B14" s="5" t="s">
        <v>10</v>
      </c>
      <c r="C14" s="5" t="s">
        <v>14</v>
      </c>
      <c r="D14" s="5" t="s">
        <v>40</v>
      </c>
      <c r="E14" s="5" t="s">
        <v>41</v>
      </c>
      <c r="F14" s="14">
        <v>46199</v>
      </c>
      <c r="G14" s="5" t="s">
        <v>42</v>
      </c>
      <c r="H14" s="6" t="s">
        <v>43</v>
      </c>
    </row>
    <row r="15" spans="1:8" ht="23">
      <c r="A15" s="8" t="s">
        <v>44</v>
      </c>
      <c r="B15" s="9" t="s">
        <v>45</v>
      </c>
      <c r="C15" s="9" t="s">
        <v>19</v>
      </c>
      <c r="D15" s="9" t="s">
        <v>46</v>
      </c>
      <c r="E15" s="9" t="s">
        <v>41</v>
      </c>
      <c r="F15" s="15">
        <v>46199</v>
      </c>
      <c r="G15" s="9" t="s">
        <v>47</v>
      </c>
      <c r="H15" s="10" t="s">
        <v>48</v>
      </c>
    </row>
    <row r="16" spans="1:8" ht="23">
      <c r="A16" s="8" t="s">
        <v>49</v>
      </c>
      <c r="B16" s="9" t="s">
        <v>10</v>
      </c>
      <c r="C16" s="9" t="s">
        <v>14</v>
      </c>
      <c r="D16" s="9" t="s">
        <v>50</v>
      </c>
      <c r="E16" s="9" t="s">
        <v>51</v>
      </c>
      <c r="F16" s="15">
        <v>46199</v>
      </c>
      <c r="G16" s="9" t="s">
        <v>42</v>
      </c>
      <c r="H16" s="10" t="s">
        <v>52</v>
      </c>
    </row>
    <row r="17" spans="1:8" ht="23">
      <c r="A17" s="8" t="s">
        <v>53</v>
      </c>
      <c r="B17" s="9" t="s">
        <v>10</v>
      </c>
      <c r="C17" s="9" t="s">
        <v>14</v>
      </c>
      <c r="D17" s="9" t="s">
        <v>54</v>
      </c>
      <c r="E17" s="9" t="s">
        <v>51</v>
      </c>
      <c r="F17" s="15">
        <v>46199</v>
      </c>
      <c r="G17" s="9" t="s">
        <v>42</v>
      </c>
      <c r="H17" s="10" t="s">
        <v>55</v>
      </c>
    </row>
    <row r="18" spans="1:8">
      <c r="A18" s="8" t="s">
        <v>56</v>
      </c>
      <c r="B18" s="9" t="s">
        <v>45</v>
      </c>
      <c r="C18" s="9" t="s">
        <v>19</v>
      </c>
      <c r="D18" s="9" t="s">
        <v>57</v>
      </c>
      <c r="E18" s="9" t="s">
        <v>51</v>
      </c>
      <c r="F18" s="15">
        <v>46199</v>
      </c>
      <c r="G18" s="9" t="s">
        <v>47</v>
      </c>
      <c r="H18" s="10" t="s">
        <v>58</v>
      </c>
    </row>
    <row r="19" spans="1:8">
      <c r="A19" s="8" t="s">
        <v>59</v>
      </c>
      <c r="B19" s="9" t="s">
        <v>60</v>
      </c>
      <c r="C19" s="9" t="s">
        <v>19</v>
      </c>
      <c r="D19" s="9" t="s">
        <v>61</v>
      </c>
      <c r="E19" s="9" t="s">
        <v>62</v>
      </c>
      <c r="F19" s="15">
        <v>46199</v>
      </c>
      <c r="G19" s="9" t="s">
        <v>42</v>
      </c>
      <c r="H19" s="10" t="s">
        <v>63</v>
      </c>
    </row>
    <row r="20" spans="1:8">
      <c r="A20" s="8" t="s">
        <v>64</v>
      </c>
      <c r="B20" s="9" t="s">
        <v>65</v>
      </c>
      <c r="C20" s="9" t="s">
        <v>19</v>
      </c>
      <c r="D20" s="9" t="s">
        <v>66</v>
      </c>
      <c r="E20" s="9" t="s">
        <v>67</v>
      </c>
      <c r="F20" s="15">
        <v>46199</v>
      </c>
      <c r="G20" s="9" t="s">
        <v>42</v>
      </c>
      <c r="H20" s="10" t="s">
        <v>68</v>
      </c>
    </row>
    <row r="21" spans="1:8">
      <c r="A21" s="8" t="s">
        <v>69</v>
      </c>
      <c r="B21" s="9" t="s">
        <v>70</v>
      </c>
      <c r="C21" s="9" t="s">
        <v>19</v>
      </c>
      <c r="D21" s="9" t="s">
        <v>71</v>
      </c>
      <c r="E21" s="9" t="s">
        <v>67</v>
      </c>
      <c r="F21" s="15">
        <v>46199</v>
      </c>
      <c r="G21" s="9" t="s">
        <v>47</v>
      </c>
      <c r="H21" s="10" t="s">
        <v>72</v>
      </c>
    </row>
    <row r="22" spans="1:8" ht="23">
      <c r="A22" s="11" t="s">
        <v>73</v>
      </c>
      <c r="B22" s="12" t="s">
        <v>60</v>
      </c>
      <c r="C22" s="12" t="s">
        <v>19</v>
      </c>
      <c r="D22" s="12" t="s">
        <v>74</v>
      </c>
      <c r="E22" s="12" t="s">
        <v>75</v>
      </c>
      <c r="F22" s="16">
        <v>46199</v>
      </c>
      <c r="G22" s="12" t="s">
        <v>47</v>
      </c>
      <c r="H22" s="13" t="s">
        <v>76</v>
      </c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21" t="s">
        <v>77</v>
      </c>
      <c r="B25" s="21" t="s">
        <v>77</v>
      </c>
      <c r="C25" s="21" t="s">
        <v>77</v>
      </c>
      <c r="D25" s="21" t="s">
        <v>77</v>
      </c>
      <c r="E25" s="21" t="s">
        <v>77</v>
      </c>
      <c r="F25" s="21" t="s">
        <v>77</v>
      </c>
      <c r="G25" s="21" t="s">
        <v>77</v>
      </c>
      <c r="H25" s="21" t="s">
        <v>77</v>
      </c>
    </row>
    <row r="26" spans="1:8">
      <c r="A26" s="22" t="s">
        <v>78</v>
      </c>
      <c r="B26" s="23"/>
      <c r="C26" s="23"/>
      <c r="D26" s="23"/>
      <c r="E26" s="23"/>
      <c r="F26" s="23"/>
      <c r="G26" s="23"/>
      <c r="H26" s="24"/>
    </row>
    <row r="27" spans="1:8">
      <c r="A27" s="25" t="s">
        <v>79</v>
      </c>
      <c r="B27" s="26"/>
      <c r="C27" s="26"/>
      <c r="D27" s="26"/>
      <c r="E27" s="26"/>
      <c r="F27" s="26"/>
      <c r="G27" s="26"/>
      <c r="H27" s="27"/>
    </row>
    <row r="28" spans="1:8">
      <c r="A28" s="28" t="s">
        <v>80</v>
      </c>
      <c r="B28" s="29"/>
      <c r="C28" s="29"/>
      <c r="D28" s="29"/>
      <c r="E28" s="29"/>
      <c r="F28" s="29"/>
      <c r="G28" s="29"/>
      <c r="H28" s="30"/>
    </row>
  </sheetData>
  <mergeCells count="9">
    <mergeCell ref="A25:H25"/>
    <mergeCell ref="A26:H26"/>
    <mergeCell ref="A27:H27"/>
    <mergeCell ref="A28:H28"/>
    <mergeCell ref="A1:H1"/>
    <mergeCell ref="A2:H2"/>
    <mergeCell ref="A4:D4"/>
    <mergeCell ref="F4:H4"/>
    <mergeCell ref="A12:H12"/>
  </mergeCells>
  <conditionalFormatting sqref="C14:C22">
    <cfRule type="containsText" dxfId="11" priority="1" operator="containsText" text="Completed"/>
    <cfRule type="containsText" dxfId="10" priority="2" operator="containsText" text="Final QA"/>
    <cfRule type="containsText" dxfId="9" priority="3" operator="containsText" text="In Progress"/>
    <cfRule type="containsText" dxfId="8" priority="4" operator="containsText" text="Plann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4"/>
  <sheetViews>
    <sheetView showGridLines="0" workbookViewId="0">
      <selection sqref="A1:Z1"/>
    </sheetView>
  </sheetViews>
  <sheetFormatPr baseColWidth="10" defaultColWidth="8.6640625" defaultRowHeight="14"/>
  <cols>
    <col min="1" max="1" width="17" customWidth="1"/>
    <col min="2" max="2" width="32" customWidth="1"/>
    <col min="3" max="3" width="14" customWidth="1"/>
    <col min="4" max="4" width="16" customWidth="1"/>
    <col min="5" max="5" width="13" customWidth="1"/>
    <col min="6" max="7" width="12" customWidth="1"/>
    <col min="8" max="8" width="34" customWidth="1"/>
    <col min="9" max="9" width="42" customWidth="1"/>
    <col min="10" max="26" width="4" customWidth="1"/>
  </cols>
  <sheetData>
    <row r="1" spans="1:26" ht="23">
      <c r="A1" s="19" t="s">
        <v>81</v>
      </c>
      <c r="B1" s="19" t="s">
        <v>81</v>
      </c>
      <c r="C1" s="19" t="s">
        <v>81</v>
      </c>
      <c r="D1" s="19" t="s">
        <v>81</v>
      </c>
      <c r="E1" s="19" t="s">
        <v>81</v>
      </c>
      <c r="F1" s="19" t="s">
        <v>81</v>
      </c>
      <c r="G1" s="19" t="s">
        <v>81</v>
      </c>
      <c r="H1" s="19" t="s">
        <v>81</v>
      </c>
      <c r="I1" s="19" t="s">
        <v>81</v>
      </c>
      <c r="J1" s="19" t="s">
        <v>81</v>
      </c>
      <c r="K1" s="19" t="s">
        <v>81</v>
      </c>
      <c r="L1" s="19" t="s">
        <v>81</v>
      </c>
      <c r="M1" s="19" t="s">
        <v>81</v>
      </c>
      <c r="N1" s="19" t="s">
        <v>81</v>
      </c>
      <c r="O1" s="19" t="s">
        <v>81</v>
      </c>
      <c r="P1" s="19" t="s">
        <v>81</v>
      </c>
      <c r="Q1" s="19" t="s">
        <v>81</v>
      </c>
      <c r="R1" s="19" t="s">
        <v>81</v>
      </c>
      <c r="S1" s="19" t="s">
        <v>81</v>
      </c>
      <c r="T1" s="19" t="s">
        <v>81</v>
      </c>
      <c r="U1" s="19" t="s">
        <v>81</v>
      </c>
      <c r="V1" s="19" t="s">
        <v>81</v>
      </c>
      <c r="W1" s="19" t="s">
        <v>81</v>
      </c>
      <c r="X1" s="19" t="s">
        <v>81</v>
      </c>
      <c r="Y1" s="19" t="s">
        <v>81</v>
      </c>
      <c r="Z1" s="19" t="s">
        <v>81</v>
      </c>
    </row>
    <row r="2" spans="1:26">
      <c r="A2" s="20" t="s">
        <v>82</v>
      </c>
      <c r="B2" s="20" t="s">
        <v>82</v>
      </c>
      <c r="C2" s="20" t="s">
        <v>82</v>
      </c>
      <c r="D2" s="20" t="s">
        <v>82</v>
      </c>
      <c r="E2" s="20" t="s">
        <v>82</v>
      </c>
      <c r="F2" s="20" t="s">
        <v>82</v>
      </c>
      <c r="G2" s="20" t="s">
        <v>82</v>
      </c>
      <c r="H2" s="20" t="s">
        <v>82</v>
      </c>
      <c r="I2" s="20" t="s">
        <v>82</v>
      </c>
      <c r="J2" s="20" t="s">
        <v>82</v>
      </c>
      <c r="K2" s="20" t="s">
        <v>82</v>
      </c>
      <c r="L2" s="20" t="s">
        <v>82</v>
      </c>
      <c r="M2" s="20" t="s">
        <v>82</v>
      </c>
      <c r="N2" s="20" t="s">
        <v>82</v>
      </c>
      <c r="O2" s="20" t="s">
        <v>82</v>
      </c>
      <c r="P2" s="20" t="s">
        <v>82</v>
      </c>
      <c r="Q2" s="20" t="s">
        <v>82</v>
      </c>
      <c r="R2" s="20" t="s">
        <v>82</v>
      </c>
      <c r="S2" s="20" t="s">
        <v>82</v>
      </c>
      <c r="T2" s="20" t="s">
        <v>82</v>
      </c>
      <c r="U2" s="20" t="s">
        <v>82</v>
      </c>
      <c r="V2" s="20" t="s">
        <v>82</v>
      </c>
      <c r="W2" s="20" t="s">
        <v>82</v>
      </c>
      <c r="X2" s="20" t="s">
        <v>82</v>
      </c>
      <c r="Y2" s="20" t="s">
        <v>82</v>
      </c>
      <c r="Z2" s="20" t="s">
        <v>82</v>
      </c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31" t="s">
        <v>83</v>
      </c>
      <c r="K4" s="31" t="s">
        <v>83</v>
      </c>
      <c r="L4" s="31" t="s">
        <v>83</v>
      </c>
      <c r="M4" s="31" t="s">
        <v>83</v>
      </c>
      <c r="N4" s="31" t="s">
        <v>83</v>
      </c>
      <c r="O4" s="31" t="s">
        <v>83</v>
      </c>
      <c r="P4" s="31" t="s">
        <v>83</v>
      </c>
      <c r="Q4" s="31" t="s">
        <v>83</v>
      </c>
      <c r="R4" s="31" t="s">
        <v>83</v>
      </c>
      <c r="S4" s="31" t="s">
        <v>83</v>
      </c>
      <c r="T4" s="31" t="s">
        <v>83</v>
      </c>
      <c r="U4" s="31" t="s">
        <v>83</v>
      </c>
      <c r="V4" s="31" t="s">
        <v>83</v>
      </c>
      <c r="W4" s="31" t="s">
        <v>83</v>
      </c>
      <c r="X4" s="31" t="s">
        <v>83</v>
      </c>
      <c r="Y4" s="31" t="s">
        <v>83</v>
      </c>
      <c r="Z4" s="31" t="s">
        <v>83</v>
      </c>
    </row>
    <row r="5" spans="1:26">
      <c r="A5" s="2" t="s">
        <v>84</v>
      </c>
      <c r="B5" s="2" t="s">
        <v>85</v>
      </c>
      <c r="C5" s="2" t="s">
        <v>86</v>
      </c>
      <c r="D5" s="2" t="s">
        <v>87</v>
      </c>
      <c r="E5" s="2" t="s">
        <v>33</v>
      </c>
      <c r="F5" s="2" t="s">
        <v>88</v>
      </c>
      <c r="G5" s="2" t="s">
        <v>89</v>
      </c>
      <c r="H5" s="2" t="s">
        <v>31</v>
      </c>
      <c r="I5" s="2" t="s">
        <v>38</v>
      </c>
      <c r="J5" s="17">
        <v>46183</v>
      </c>
      <c r="K5" s="17">
        <v>46184</v>
      </c>
      <c r="L5" s="17">
        <v>46185</v>
      </c>
      <c r="M5" s="17">
        <v>46186</v>
      </c>
      <c r="N5" s="17">
        <v>46187</v>
      </c>
      <c r="O5" s="17">
        <v>46188</v>
      </c>
      <c r="P5" s="17">
        <v>46189</v>
      </c>
      <c r="Q5" s="17">
        <v>46190</v>
      </c>
      <c r="R5" s="17">
        <v>46191</v>
      </c>
      <c r="S5" s="17">
        <v>46192</v>
      </c>
      <c r="T5" s="17">
        <v>46193</v>
      </c>
      <c r="U5" s="17">
        <v>46194</v>
      </c>
      <c r="V5" s="17">
        <v>46195</v>
      </c>
      <c r="W5" s="17">
        <v>46196</v>
      </c>
      <c r="X5" s="17">
        <v>46197</v>
      </c>
      <c r="Y5" s="17">
        <v>46198</v>
      </c>
      <c r="Z5" s="17">
        <v>46199</v>
      </c>
    </row>
    <row r="6" spans="1:26">
      <c r="A6" s="4" t="s">
        <v>90</v>
      </c>
      <c r="B6" s="5" t="s">
        <v>91</v>
      </c>
      <c r="C6" s="5" t="s">
        <v>10</v>
      </c>
      <c r="D6" s="5" t="s">
        <v>70</v>
      </c>
      <c r="E6" s="5" t="s">
        <v>14</v>
      </c>
      <c r="F6" s="14">
        <v>46183</v>
      </c>
      <c r="G6" s="14">
        <v>46188</v>
      </c>
      <c r="H6" s="5" t="s">
        <v>92</v>
      </c>
      <c r="I6" s="6" t="s">
        <v>93</v>
      </c>
      <c r="J6" s="18" t="str">
        <f t="shared" ref="J6:S15" si="0">IF(AND(J$5&gt;=$F6,J$5&lt;=$G6),"■","")</f>
        <v>■</v>
      </c>
      <c r="K6" s="18" t="str">
        <f t="shared" si="0"/>
        <v>■</v>
      </c>
      <c r="L6" s="18" t="str">
        <f t="shared" si="0"/>
        <v>■</v>
      </c>
      <c r="M6" s="18" t="str">
        <f t="shared" si="0"/>
        <v>■</v>
      </c>
      <c r="N6" s="18" t="str">
        <f t="shared" si="0"/>
        <v>■</v>
      </c>
      <c r="O6" s="18" t="str">
        <f t="shared" si="0"/>
        <v>■</v>
      </c>
      <c r="P6" s="18" t="str">
        <f t="shared" si="0"/>
        <v/>
      </c>
      <c r="Q6" s="18" t="str">
        <f t="shared" si="0"/>
        <v/>
      </c>
      <c r="R6" s="18" t="str">
        <f t="shared" si="0"/>
        <v/>
      </c>
      <c r="S6" s="18" t="str">
        <f t="shared" si="0"/>
        <v/>
      </c>
      <c r="T6" s="18" t="str">
        <f t="shared" ref="T6:Z15" si="1">IF(AND(T$5&gt;=$F6,T$5&lt;=$G6),"■","")</f>
        <v/>
      </c>
      <c r="U6" s="18" t="str">
        <f t="shared" si="1"/>
        <v/>
      </c>
      <c r="V6" s="18" t="str">
        <f t="shared" si="1"/>
        <v/>
      </c>
      <c r="W6" s="18" t="str">
        <f t="shared" si="1"/>
        <v/>
      </c>
      <c r="X6" s="18" t="str">
        <f t="shared" si="1"/>
        <v/>
      </c>
      <c r="Y6" s="18" t="str">
        <f t="shared" si="1"/>
        <v/>
      </c>
      <c r="Z6" s="18" t="str">
        <f t="shared" si="1"/>
        <v/>
      </c>
    </row>
    <row r="7" spans="1:26">
      <c r="A7" s="8" t="s">
        <v>90</v>
      </c>
      <c r="B7" s="9" t="s">
        <v>94</v>
      </c>
      <c r="C7" s="9" t="s">
        <v>10</v>
      </c>
      <c r="D7" s="9" t="s">
        <v>25</v>
      </c>
      <c r="E7" s="9" t="s">
        <v>14</v>
      </c>
      <c r="F7" s="15">
        <v>46187</v>
      </c>
      <c r="G7" s="15">
        <v>46188</v>
      </c>
      <c r="H7" s="9" t="s">
        <v>95</v>
      </c>
      <c r="I7" s="10" t="s">
        <v>96</v>
      </c>
      <c r="J7" s="18" t="str">
        <f t="shared" si="0"/>
        <v/>
      </c>
      <c r="K7" s="18" t="str">
        <f t="shared" si="0"/>
        <v/>
      </c>
      <c r="L7" s="18" t="str">
        <f t="shared" si="0"/>
        <v/>
      </c>
      <c r="M7" s="18" t="str">
        <f t="shared" si="0"/>
        <v/>
      </c>
      <c r="N7" s="18" t="str">
        <f t="shared" si="0"/>
        <v>■</v>
      </c>
      <c r="O7" s="18" t="str">
        <f t="shared" si="0"/>
        <v>■</v>
      </c>
      <c r="P7" s="18" t="str">
        <f t="shared" si="0"/>
        <v/>
      </c>
      <c r="Q7" s="18" t="str">
        <f t="shared" si="0"/>
        <v/>
      </c>
      <c r="R7" s="18" t="str">
        <f t="shared" si="0"/>
        <v/>
      </c>
      <c r="S7" s="18" t="str">
        <f t="shared" si="0"/>
        <v/>
      </c>
      <c r="T7" s="18" t="str">
        <f t="shared" si="1"/>
        <v/>
      </c>
      <c r="U7" s="18" t="str">
        <f t="shared" si="1"/>
        <v/>
      </c>
      <c r="V7" s="18" t="str">
        <f t="shared" si="1"/>
        <v/>
      </c>
      <c r="W7" s="18" t="str">
        <f t="shared" si="1"/>
        <v/>
      </c>
      <c r="X7" s="18" t="str">
        <f t="shared" si="1"/>
        <v/>
      </c>
      <c r="Y7" s="18" t="str">
        <f t="shared" si="1"/>
        <v/>
      </c>
      <c r="Z7" s="18" t="str">
        <f t="shared" si="1"/>
        <v/>
      </c>
    </row>
    <row r="8" spans="1:26">
      <c r="A8" s="8" t="s">
        <v>90</v>
      </c>
      <c r="B8" s="9" t="s">
        <v>97</v>
      </c>
      <c r="C8" s="9" t="s">
        <v>10</v>
      </c>
      <c r="D8" s="9" t="s">
        <v>15</v>
      </c>
      <c r="E8" s="9" t="s">
        <v>14</v>
      </c>
      <c r="F8" s="15">
        <v>46188</v>
      </c>
      <c r="G8" s="15">
        <v>46189</v>
      </c>
      <c r="H8" s="9" t="s">
        <v>98</v>
      </c>
      <c r="I8" s="10" t="s">
        <v>99</v>
      </c>
      <c r="J8" s="18" t="str">
        <f t="shared" si="0"/>
        <v/>
      </c>
      <c r="K8" s="18" t="str">
        <f t="shared" si="0"/>
        <v/>
      </c>
      <c r="L8" s="18" t="str">
        <f t="shared" si="0"/>
        <v/>
      </c>
      <c r="M8" s="18" t="str">
        <f t="shared" si="0"/>
        <v/>
      </c>
      <c r="N8" s="18" t="str">
        <f t="shared" si="0"/>
        <v/>
      </c>
      <c r="O8" s="18" t="str">
        <f t="shared" si="0"/>
        <v>■</v>
      </c>
      <c r="P8" s="18" t="str">
        <f t="shared" si="0"/>
        <v>■</v>
      </c>
      <c r="Q8" s="18" t="str">
        <f t="shared" si="0"/>
        <v/>
      </c>
      <c r="R8" s="18" t="str">
        <f t="shared" si="0"/>
        <v/>
      </c>
      <c r="S8" s="18" t="str">
        <f t="shared" si="0"/>
        <v/>
      </c>
      <c r="T8" s="18" t="str">
        <f t="shared" si="1"/>
        <v/>
      </c>
      <c r="U8" s="18" t="str">
        <f t="shared" si="1"/>
        <v/>
      </c>
      <c r="V8" s="18" t="str">
        <f t="shared" si="1"/>
        <v/>
      </c>
      <c r="W8" s="18" t="str">
        <f t="shared" si="1"/>
        <v/>
      </c>
      <c r="X8" s="18" t="str">
        <f t="shared" si="1"/>
        <v/>
      </c>
      <c r="Y8" s="18" t="str">
        <f t="shared" si="1"/>
        <v/>
      </c>
      <c r="Z8" s="18" t="str">
        <f t="shared" si="1"/>
        <v/>
      </c>
    </row>
    <row r="9" spans="1:26">
      <c r="A9" s="8" t="s">
        <v>100</v>
      </c>
      <c r="B9" s="9" t="s">
        <v>101</v>
      </c>
      <c r="C9" s="9" t="s">
        <v>10</v>
      </c>
      <c r="D9" s="9" t="s">
        <v>15</v>
      </c>
      <c r="E9" s="9" t="s">
        <v>14</v>
      </c>
      <c r="F9" s="15">
        <v>46188</v>
      </c>
      <c r="G9" s="15">
        <v>46188</v>
      </c>
      <c r="H9" s="9" t="s">
        <v>102</v>
      </c>
      <c r="I9" s="10" t="s">
        <v>103</v>
      </c>
      <c r="J9" s="18" t="str">
        <f t="shared" si="0"/>
        <v/>
      </c>
      <c r="K9" s="18" t="str">
        <f t="shared" si="0"/>
        <v/>
      </c>
      <c r="L9" s="18" t="str">
        <f t="shared" si="0"/>
        <v/>
      </c>
      <c r="M9" s="18" t="str">
        <f t="shared" si="0"/>
        <v/>
      </c>
      <c r="N9" s="18" t="str">
        <f t="shared" si="0"/>
        <v/>
      </c>
      <c r="O9" s="18" t="str">
        <f t="shared" si="0"/>
        <v>■</v>
      </c>
      <c r="P9" s="18" t="str">
        <f t="shared" si="0"/>
        <v/>
      </c>
      <c r="Q9" s="18" t="str">
        <f t="shared" si="0"/>
        <v/>
      </c>
      <c r="R9" s="18" t="str">
        <f t="shared" si="0"/>
        <v/>
      </c>
      <c r="S9" s="18" t="str">
        <f t="shared" si="0"/>
        <v/>
      </c>
      <c r="T9" s="18" t="str">
        <f t="shared" si="1"/>
        <v/>
      </c>
      <c r="U9" s="18" t="str">
        <f t="shared" si="1"/>
        <v/>
      </c>
      <c r="V9" s="18" t="str">
        <f t="shared" si="1"/>
        <v/>
      </c>
      <c r="W9" s="18" t="str">
        <f t="shared" si="1"/>
        <v/>
      </c>
      <c r="X9" s="18" t="str">
        <f t="shared" si="1"/>
        <v/>
      </c>
      <c r="Y9" s="18" t="str">
        <f t="shared" si="1"/>
        <v/>
      </c>
      <c r="Z9" s="18" t="str">
        <f t="shared" si="1"/>
        <v/>
      </c>
    </row>
    <row r="10" spans="1:26">
      <c r="A10" s="8" t="s">
        <v>100</v>
      </c>
      <c r="B10" s="9" t="s">
        <v>104</v>
      </c>
      <c r="C10" s="9" t="s">
        <v>10</v>
      </c>
      <c r="D10" s="9" t="s">
        <v>15</v>
      </c>
      <c r="E10" s="9" t="s">
        <v>14</v>
      </c>
      <c r="F10" s="15">
        <v>46189</v>
      </c>
      <c r="G10" s="15">
        <v>46191</v>
      </c>
      <c r="H10" s="9" t="s">
        <v>105</v>
      </c>
      <c r="I10" s="10" t="s">
        <v>106</v>
      </c>
      <c r="J10" s="18" t="str">
        <f t="shared" si="0"/>
        <v/>
      </c>
      <c r="K10" s="18" t="str">
        <f t="shared" si="0"/>
        <v/>
      </c>
      <c r="L10" s="18" t="str">
        <f t="shared" si="0"/>
        <v/>
      </c>
      <c r="M10" s="18" t="str">
        <f t="shared" si="0"/>
        <v/>
      </c>
      <c r="N10" s="18" t="str">
        <f t="shared" si="0"/>
        <v/>
      </c>
      <c r="O10" s="18" t="str">
        <f t="shared" si="0"/>
        <v/>
      </c>
      <c r="P10" s="18" t="str">
        <f t="shared" si="0"/>
        <v>■</v>
      </c>
      <c r="Q10" s="18" t="str">
        <f t="shared" si="0"/>
        <v>■</v>
      </c>
      <c r="R10" s="18" t="str">
        <f t="shared" si="0"/>
        <v>■</v>
      </c>
      <c r="S10" s="18" t="str">
        <f t="shared" si="0"/>
        <v/>
      </c>
      <c r="T10" s="18" t="str">
        <f t="shared" si="1"/>
        <v/>
      </c>
      <c r="U10" s="18" t="str">
        <f t="shared" si="1"/>
        <v/>
      </c>
      <c r="V10" s="18" t="str">
        <f t="shared" si="1"/>
        <v/>
      </c>
      <c r="W10" s="18" t="str">
        <f t="shared" si="1"/>
        <v/>
      </c>
      <c r="X10" s="18" t="str">
        <f t="shared" si="1"/>
        <v/>
      </c>
      <c r="Y10" s="18" t="str">
        <f t="shared" si="1"/>
        <v/>
      </c>
      <c r="Z10" s="18" t="str">
        <f t="shared" si="1"/>
        <v/>
      </c>
    </row>
    <row r="11" spans="1:26" ht="23">
      <c r="A11" s="8" t="s">
        <v>100</v>
      </c>
      <c r="B11" s="9" t="s">
        <v>107</v>
      </c>
      <c r="C11" s="9" t="s">
        <v>15</v>
      </c>
      <c r="D11" s="9" t="s">
        <v>10</v>
      </c>
      <c r="E11" s="9" t="s">
        <v>14</v>
      </c>
      <c r="F11" s="15">
        <v>46189</v>
      </c>
      <c r="G11" s="15">
        <v>46196</v>
      </c>
      <c r="H11" s="9" t="s">
        <v>108</v>
      </c>
      <c r="I11" s="10" t="s">
        <v>109</v>
      </c>
      <c r="J11" s="18" t="str">
        <f t="shared" si="0"/>
        <v/>
      </c>
      <c r="K11" s="18" t="str">
        <f t="shared" si="0"/>
        <v/>
      </c>
      <c r="L11" s="18" t="str">
        <f t="shared" si="0"/>
        <v/>
      </c>
      <c r="M11" s="18" t="str">
        <f t="shared" si="0"/>
        <v/>
      </c>
      <c r="N11" s="18" t="str">
        <f t="shared" si="0"/>
        <v/>
      </c>
      <c r="O11" s="18" t="str">
        <f t="shared" si="0"/>
        <v/>
      </c>
      <c r="P11" s="18" t="str">
        <f t="shared" si="0"/>
        <v>■</v>
      </c>
      <c r="Q11" s="18" t="str">
        <f t="shared" si="0"/>
        <v>■</v>
      </c>
      <c r="R11" s="18" t="str">
        <f t="shared" si="0"/>
        <v>■</v>
      </c>
      <c r="S11" s="18" t="str">
        <f t="shared" si="0"/>
        <v>■</v>
      </c>
      <c r="T11" s="18" t="str">
        <f t="shared" si="1"/>
        <v>■</v>
      </c>
      <c r="U11" s="18" t="str">
        <f t="shared" si="1"/>
        <v>■</v>
      </c>
      <c r="V11" s="18" t="str">
        <f t="shared" si="1"/>
        <v>■</v>
      </c>
      <c r="W11" s="18" t="str">
        <f t="shared" si="1"/>
        <v>■</v>
      </c>
      <c r="X11" s="18" t="str">
        <f t="shared" si="1"/>
        <v/>
      </c>
      <c r="Y11" s="18" t="str">
        <f t="shared" si="1"/>
        <v/>
      </c>
      <c r="Z11" s="18" t="str">
        <f t="shared" si="1"/>
        <v/>
      </c>
    </row>
    <row r="12" spans="1:26">
      <c r="A12" s="8" t="s">
        <v>100</v>
      </c>
      <c r="B12" s="9" t="s">
        <v>110</v>
      </c>
      <c r="C12" s="9" t="s">
        <v>10</v>
      </c>
      <c r="D12" s="9" t="s">
        <v>15</v>
      </c>
      <c r="E12" s="9" t="s">
        <v>14</v>
      </c>
      <c r="F12" s="15">
        <v>46191</v>
      </c>
      <c r="G12" s="15">
        <v>46192</v>
      </c>
      <c r="H12" s="9" t="s">
        <v>111</v>
      </c>
      <c r="I12" s="10" t="s">
        <v>112</v>
      </c>
      <c r="J12" s="18" t="str">
        <f t="shared" si="0"/>
        <v/>
      </c>
      <c r="K12" s="18" t="str">
        <f t="shared" si="0"/>
        <v/>
      </c>
      <c r="L12" s="18" t="str">
        <f t="shared" si="0"/>
        <v/>
      </c>
      <c r="M12" s="18" t="str">
        <f t="shared" si="0"/>
        <v/>
      </c>
      <c r="N12" s="18" t="str">
        <f t="shared" si="0"/>
        <v/>
      </c>
      <c r="O12" s="18" t="str">
        <f t="shared" si="0"/>
        <v/>
      </c>
      <c r="P12" s="18" t="str">
        <f t="shared" si="0"/>
        <v/>
      </c>
      <c r="Q12" s="18" t="str">
        <f t="shared" si="0"/>
        <v/>
      </c>
      <c r="R12" s="18" t="str">
        <f t="shared" si="0"/>
        <v>■</v>
      </c>
      <c r="S12" s="18" t="str">
        <f t="shared" si="0"/>
        <v>■</v>
      </c>
      <c r="T12" s="18" t="str">
        <f t="shared" si="1"/>
        <v/>
      </c>
      <c r="U12" s="18" t="str">
        <f t="shared" si="1"/>
        <v/>
      </c>
      <c r="V12" s="18" t="str">
        <f t="shared" si="1"/>
        <v/>
      </c>
      <c r="W12" s="18" t="str">
        <f t="shared" si="1"/>
        <v/>
      </c>
      <c r="X12" s="18" t="str">
        <f t="shared" si="1"/>
        <v/>
      </c>
      <c r="Y12" s="18" t="str">
        <f t="shared" si="1"/>
        <v/>
      </c>
      <c r="Z12" s="18" t="str">
        <f t="shared" si="1"/>
        <v/>
      </c>
    </row>
    <row r="13" spans="1:26">
      <c r="A13" s="8" t="s">
        <v>113</v>
      </c>
      <c r="B13" s="9" t="s">
        <v>114</v>
      </c>
      <c r="C13" s="9" t="s">
        <v>10</v>
      </c>
      <c r="D13" s="9" t="s">
        <v>20</v>
      </c>
      <c r="E13" s="9" t="s">
        <v>14</v>
      </c>
      <c r="F13" s="15">
        <v>46190</v>
      </c>
      <c r="G13" s="15">
        <v>46198</v>
      </c>
      <c r="H13" s="9" t="s">
        <v>115</v>
      </c>
      <c r="I13" s="10" t="s">
        <v>116</v>
      </c>
      <c r="J13" s="18" t="str">
        <f t="shared" si="0"/>
        <v/>
      </c>
      <c r="K13" s="18" t="str">
        <f t="shared" si="0"/>
        <v/>
      </c>
      <c r="L13" s="18" t="str">
        <f t="shared" si="0"/>
        <v/>
      </c>
      <c r="M13" s="18" t="str">
        <f t="shared" si="0"/>
        <v/>
      </c>
      <c r="N13" s="18" t="str">
        <f t="shared" si="0"/>
        <v/>
      </c>
      <c r="O13" s="18" t="str">
        <f t="shared" si="0"/>
        <v/>
      </c>
      <c r="P13" s="18" t="str">
        <f t="shared" si="0"/>
        <v/>
      </c>
      <c r="Q13" s="18" t="str">
        <f t="shared" si="0"/>
        <v>■</v>
      </c>
      <c r="R13" s="18" t="str">
        <f t="shared" si="0"/>
        <v>■</v>
      </c>
      <c r="S13" s="18" t="str">
        <f t="shared" si="0"/>
        <v>■</v>
      </c>
      <c r="T13" s="18" t="str">
        <f t="shared" si="1"/>
        <v>■</v>
      </c>
      <c r="U13" s="18" t="str">
        <f t="shared" si="1"/>
        <v>■</v>
      </c>
      <c r="V13" s="18" t="str">
        <f t="shared" si="1"/>
        <v>■</v>
      </c>
      <c r="W13" s="18" t="str">
        <f t="shared" si="1"/>
        <v>■</v>
      </c>
      <c r="X13" s="18" t="str">
        <f t="shared" si="1"/>
        <v>■</v>
      </c>
      <c r="Y13" s="18" t="str">
        <f t="shared" si="1"/>
        <v>■</v>
      </c>
      <c r="Z13" s="18" t="str">
        <f t="shared" si="1"/>
        <v/>
      </c>
    </row>
    <row r="14" spans="1:26">
      <c r="A14" s="8" t="s">
        <v>117</v>
      </c>
      <c r="B14" s="9" t="s">
        <v>118</v>
      </c>
      <c r="C14" s="9" t="s">
        <v>20</v>
      </c>
      <c r="D14" s="9" t="s">
        <v>10</v>
      </c>
      <c r="E14" s="9" t="s">
        <v>14</v>
      </c>
      <c r="F14" s="15">
        <v>46188</v>
      </c>
      <c r="G14" s="15">
        <v>46198</v>
      </c>
      <c r="H14" s="9" t="s">
        <v>119</v>
      </c>
      <c r="I14" s="10" t="s">
        <v>23</v>
      </c>
      <c r="J14" s="18" t="str">
        <f t="shared" si="0"/>
        <v/>
      </c>
      <c r="K14" s="18" t="str">
        <f t="shared" si="0"/>
        <v/>
      </c>
      <c r="L14" s="18" t="str">
        <f t="shared" si="0"/>
        <v/>
      </c>
      <c r="M14" s="18" t="str">
        <f t="shared" si="0"/>
        <v/>
      </c>
      <c r="N14" s="18" t="str">
        <f t="shared" si="0"/>
        <v/>
      </c>
      <c r="O14" s="18" t="str">
        <f t="shared" si="0"/>
        <v>■</v>
      </c>
      <c r="P14" s="18" t="str">
        <f t="shared" si="0"/>
        <v>■</v>
      </c>
      <c r="Q14" s="18" t="str">
        <f t="shared" si="0"/>
        <v>■</v>
      </c>
      <c r="R14" s="18" t="str">
        <f t="shared" si="0"/>
        <v>■</v>
      </c>
      <c r="S14" s="18" t="str">
        <f t="shared" si="0"/>
        <v>■</v>
      </c>
      <c r="T14" s="18" t="str">
        <f t="shared" si="1"/>
        <v>■</v>
      </c>
      <c r="U14" s="18" t="str">
        <f t="shared" si="1"/>
        <v>■</v>
      </c>
      <c r="V14" s="18" t="str">
        <f t="shared" si="1"/>
        <v>■</v>
      </c>
      <c r="W14" s="18" t="str">
        <f t="shared" si="1"/>
        <v>■</v>
      </c>
      <c r="X14" s="18" t="str">
        <f t="shared" si="1"/>
        <v>■</v>
      </c>
      <c r="Y14" s="18" t="str">
        <f t="shared" si="1"/>
        <v>■</v>
      </c>
      <c r="Z14" s="18" t="str">
        <f t="shared" si="1"/>
        <v/>
      </c>
    </row>
    <row r="15" spans="1:26">
      <c r="A15" s="8" t="s">
        <v>100</v>
      </c>
      <c r="B15" s="9" t="s">
        <v>120</v>
      </c>
      <c r="C15" s="9" t="s">
        <v>15</v>
      </c>
      <c r="D15" s="9" t="s">
        <v>10</v>
      </c>
      <c r="E15" s="9" t="s">
        <v>14</v>
      </c>
      <c r="F15" s="15">
        <v>46191</v>
      </c>
      <c r="G15" s="15">
        <v>46198</v>
      </c>
      <c r="H15" s="9" t="s">
        <v>121</v>
      </c>
      <c r="I15" s="10" t="s">
        <v>122</v>
      </c>
      <c r="J15" s="18" t="str">
        <f t="shared" si="0"/>
        <v/>
      </c>
      <c r="K15" s="18" t="str">
        <f t="shared" si="0"/>
        <v/>
      </c>
      <c r="L15" s="18" t="str">
        <f t="shared" si="0"/>
        <v/>
      </c>
      <c r="M15" s="18" t="str">
        <f t="shared" si="0"/>
        <v/>
      </c>
      <c r="N15" s="18" t="str">
        <f t="shared" si="0"/>
        <v/>
      </c>
      <c r="O15" s="18" t="str">
        <f t="shared" si="0"/>
        <v/>
      </c>
      <c r="P15" s="18" t="str">
        <f t="shared" si="0"/>
        <v/>
      </c>
      <c r="Q15" s="18" t="str">
        <f t="shared" si="0"/>
        <v/>
      </c>
      <c r="R15" s="18" t="str">
        <f t="shared" si="0"/>
        <v>■</v>
      </c>
      <c r="S15" s="18" t="str">
        <f t="shared" si="0"/>
        <v>■</v>
      </c>
      <c r="T15" s="18" t="str">
        <f t="shared" si="1"/>
        <v>■</v>
      </c>
      <c r="U15" s="18" t="str">
        <f t="shared" si="1"/>
        <v>■</v>
      </c>
      <c r="V15" s="18" t="str">
        <f t="shared" si="1"/>
        <v>■</v>
      </c>
      <c r="W15" s="18" t="str">
        <f t="shared" si="1"/>
        <v>■</v>
      </c>
      <c r="X15" s="18" t="str">
        <f t="shared" si="1"/>
        <v>■</v>
      </c>
      <c r="Y15" s="18" t="str">
        <f t="shared" si="1"/>
        <v>■</v>
      </c>
      <c r="Z15" s="18" t="str">
        <f t="shared" si="1"/>
        <v/>
      </c>
    </row>
    <row r="16" spans="1:26">
      <c r="A16" s="8" t="s">
        <v>123</v>
      </c>
      <c r="B16" s="9" t="s">
        <v>124</v>
      </c>
      <c r="C16" s="9" t="s">
        <v>25</v>
      </c>
      <c r="D16" s="9" t="s">
        <v>10</v>
      </c>
      <c r="E16" s="9" t="s">
        <v>14</v>
      </c>
      <c r="F16" s="15">
        <v>46190</v>
      </c>
      <c r="G16" s="15">
        <v>46198</v>
      </c>
      <c r="H16" s="9" t="s">
        <v>125</v>
      </c>
      <c r="I16" s="10" t="s">
        <v>126</v>
      </c>
      <c r="J16" s="18" t="str">
        <f t="shared" ref="J16:S24" si="2">IF(AND(J$5&gt;=$F16,J$5&lt;=$G16),"■","")</f>
        <v/>
      </c>
      <c r="K16" s="18" t="str">
        <f t="shared" si="2"/>
        <v/>
      </c>
      <c r="L16" s="18" t="str">
        <f t="shared" si="2"/>
        <v/>
      </c>
      <c r="M16" s="18" t="str">
        <f t="shared" si="2"/>
        <v/>
      </c>
      <c r="N16" s="18" t="str">
        <f t="shared" si="2"/>
        <v/>
      </c>
      <c r="O16" s="18" t="str">
        <f t="shared" si="2"/>
        <v/>
      </c>
      <c r="P16" s="18" t="str">
        <f t="shared" si="2"/>
        <v/>
      </c>
      <c r="Q16" s="18" t="str">
        <f t="shared" si="2"/>
        <v>■</v>
      </c>
      <c r="R16" s="18" t="str">
        <f t="shared" si="2"/>
        <v>■</v>
      </c>
      <c r="S16" s="18" t="str">
        <f t="shared" si="2"/>
        <v>■</v>
      </c>
      <c r="T16" s="18" t="str">
        <f t="shared" ref="T16:Z24" si="3">IF(AND(T$5&gt;=$F16,T$5&lt;=$G16),"■","")</f>
        <v>■</v>
      </c>
      <c r="U16" s="18" t="str">
        <f t="shared" si="3"/>
        <v>■</v>
      </c>
      <c r="V16" s="18" t="str">
        <f t="shared" si="3"/>
        <v>■</v>
      </c>
      <c r="W16" s="18" t="str">
        <f t="shared" si="3"/>
        <v>■</v>
      </c>
      <c r="X16" s="18" t="str">
        <f t="shared" si="3"/>
        <v>■</v>
      </c>
      <c r="Y16" s="18" t="str">
        <f t="shared" si="3"/>
        <v>■</v>
      </c>
      <c r="Z16" s="18" t="str">
        <f t="shared" si="3"/>
        <v/>
      </c>
    </row>
    <row r="17" spans="1:26">
      <c r="A17" s="8" t="s">
        <v>123</v>
      </c>
      <c r="B17" s="9" t="s">
        <v>127</v>
      </c>
      <c r="C17" s="9" t="s">
        <v>10</v>
      </c>
      <c r="D17" s="9" t="s">
        <v>25</v>
      </c>
      <c r="E17" s="9" t="s">
        <v>14</v>
      </c>
      <c r="F17" s="15">
        <v>46195</v>
      </c>
      <c r="G17" s="15">
        <v>46198</v>
      </c>
      <c r="H17" s="9" t="s">
        <v>128</v>
      </c>
      <c r="I17" s="10" t="s">
        <v>129</v>
      </c>
      <c r="J17" s="18" t="str">
        <f t="shared" si="2"/>
        <v/>
      </c>
      <c r="K17" s="18" t="str">
        <f t="shared" si="2"/>
        <v/>
      </c>
      <c r="L17" s="18" t="str">
        <f t="shared" si="2"/>
        <v/>
      </c>
      <c r="M17" s="18" t="str">
        <f t="shared" si="2"/>
        <v/>
      </c>
      <c r="N17" s="18" t="str">
        <f t="shared" si="2"/>
        <v/>
      </c>
      <c r="O17" s="18" t="str">
        <f t="shared" si="2"/>
        <v/>
      </c>
      <c r="P17" s="18" t="str">
        <f t="shared" si="2"/>
        <v/>
      </c>
      <c r="Q17" s="18" t="str">
        <f t="shared" si="2"/>
        <v/>
      </c>
      <c r="R17" s="18" t="str">
        <f t="shared" si="2"/>
        <v/>
      </c>
      <c r="S17" s="18" t="str">
        <f t="shared" si="2"/>
        <v/>
      </c>
      <c r="T17" s="18" t="str">
        <f t="shared" si="3"/>
        <v/>
      </c>
      <c r="U17" s="18" t="str">
        <f t="shared" si="3"/>
        <v/>
      </c>
      <c r="V17" s="18" t="str">
        <f t="shared" si="3"/>
        <v>■</v>
      </c>
      <c r="W17" s="18" t="str">
        <f t="shared" si="3"/>
        <v>■</v>
      </c>
      <c r="X17" s="18" t="str">
        <f t="shared" si="3"/>
        <v>■</v>
      </c>
      <c r="Y17" s="18" t="str">
        <f t="shared" si="3"/>
        <v>■</v>
      </c>
      <c r="Z17" s="18" t="str">
        <f t="shared" si="3"/>
        <v/>
      </c>
    </row>
    <row r="18" spans="1:26">
      <c r="A18" s="8" t="s">
        <v>130</v>
      </c>
      <c r="B18" s="9" t="s">
        <v>131</v>
      </c>
      <c r="C18" s="9" t="s">
        <v>10</v>
      </c>
      <c r="D18" s="9" t="s">
        <v>15</v>
      </c>
      <c r="E18" s="9" t="s">
        <v>14</v>
      </c>
      <c r="F18" s="15">
        <v>46192</v>
      </c>
      <c r="G18" s="15">
        <v>46194</v>
      </c>
      <c r="H18" s="9" t="s">
        <v>132</v>
      </c>
      <c r="I18" s="10" t="s">
        <v>133</v>
      </c>
      <c r="J18" s="18" t="str">
        <f t="shared" si="2"/>
        <v/>
      </c>
      <c r="K18" s="18" t="str">
        <f t="shared" si="2"/>
        <v/>
      </c>
      <c r="L18" s="18" t="str">
        <f t="shared" si="2"/>
        <v/>
      </c>
      <c r="M18" s="18" t="str">
        <f t="shared" si="2"/>
        <v/>
      </c>
      <c r="N18" s="18" t="str">
        <f t="shared" si="2"/>
        <v/>
      </c>
      <c r="O18" s="18" t="str">
        <f t="shared" si="2"/>
        <v/>
      </c>
      <c r="P18" s="18" t="str">
        <f t="shared" si="2"/>
        <v/>
      </c>
      <c r="Q18" s="18" t="str">
        <f t="shared" si="2"/>
        <v/>
      </c>
      <c r="R18" s="18" t="str">
        <f t="shared" si="2"/>
        <v/>
      </c>
      <c r="S18" s="18" t="str">
        <f t="shared" si="2"/>
        <v>■</v>
      </c>
      <c r="T18" s="18" t="str">
        <f t="shared" si="3"/>
        <v>■</v>
      </c>
      <c r="U18" s="18" t="str">
        <f t="shared" si="3"/>
        <v>■</v>
      </c>
      <c r="V18" s="18" t="str">
        <f t="shared" si="3"/>
        <v/>
      </c>
      <c r="W18" s="18" t="str">
        <f t="shared" si="3"/>
        <v/>
      </c>
      <c r="X18" s="18" t="str">
        <f t="shared" si="3"/>
        <v/>
      </c>
      <c r="Y18" s="18" t="str">
        <f t="shared" si="3"/>
        <v/>
      </c>
      <c r="Z18" s="18" t="str">
        <f t="shared" si="3"/>
        <v/>
      </c>
    </row>
    <row r="19" spans="1:26" ht="23">
      <c r="A19" s="8" t="s">
        <v>134</v>
      </c>
      <c r="B19" s="9" t="s">
        <v>135</v>
      </c>
      <c r="C19" s="9" t="s">
        <v>10</v>
      </c>
      <c r="D19" s="9" t="s">
        <v>15</v>
      </c>
      <c r="E19" s="9" t="s">
        <v>14</v>
      </c>
      <c r="F19" s="15">
        <v>46196</v>
      </c>
      <c r="G19" s="15">
        <v>46197</v>
      </c>
      <c r="H19" s="9" t="s">
        <v>136</v>
      </c>
      <c r="I19" s="10" t="s">
        <v>137</v>
      </c>
      <c r="J19" s="18" t="str">
        <f t="shared" si="2"/>
        <v/>
      </c>
      <c r="K19" s="18" t="str">
        <f t="shared" si="2"/>
        <v/>
      </c>
      <c r="L19" s="18" t="str">
        <f t="shared" si="2"/>
        <v/>
      </c>
      <c r="M19" s="18" t="str">
        <f t="shared" si="2"/>
        <v/>
      </c>
      <c r="N19" s="18" t="str">
        <f t="shared" si="2"/>
        <v/>
      </c>
      <c r="O19" s="18" t="str">
        <f t="shared" si="2"/>
        <v/>
      </c>
      <c r="P19" s="18" t="str">
        <f t="shared" si="2"/>
        <v/>
      </c>
      <c r="Q19" s="18" t="str">
        <f t="shared" si="2"/>
        <v/>
      </c>
      <c r="R19" s="18" t="str">
        <f t="shared" si="2"/>
        <v/>
      </c>
      <c r="S19" s="18" t="str">
        <f t="shared" si="2"/>
        <v/>
      </c>
      <c r="T19" s="18" t="str">
        <f t="shared" si="3"/>
        <v/>
      </c>
      <c r="U19" s="18" t="str">
        <f t="shared" si="3"/>
        <v/>
      </c>
      <c r="V19" s="18" t="str">
        <f t="shared" si="3"/>
        <v/>
      </c>
      <c r="W19" s="18" t="str">
        <f t="shared" si="3"/>
        <v>■</v>
      </c>
      <c r="X19" s="18" t="str">
        <f t="shared" si="3"/>
        <v>■</v>
      </c>
      <c r="Y19" s="18" t="str">
        <f t="shared" si="3"/>
        <v/>
      </c>
      <c r="Z19" s="18" t="str">
        <f t="shared" si="3"/>
        <v/>
      </c>
    </row>
    <row r="20" spans="1:26">
      <c r="A20" s="8" t="s">
        <v>130</v>
      </c>
      <c r="B20" s="9" t="s">
        <v>138</v>
      </c>
      <c r="C20" s="9" t="s">
        <v>10</v>
      </c>
      <c r="D20" s="9" t="s">
        <v>70</v>
      </c>
      <c r="E20" s="9" t="s">
        <v>14</v>
      </c>
      <c r="F20" s="15">
        <v>46197</v>
      </c>
      <c r="G20" s="15">
        <v>46198</v>
      </c>
      <c r="H20" s="9" t="s">
        <v>139</v>
      </c>
      <c r="I20" s="10" t="s">
        <v>140</v>
      </c>
      <c r="J20" s="18" t="str">
        <f t="shared" si="2"/>
        <v/>
      </c>
      <c r="K20" s="18" t="str">
        <f t="shared" si="2"/>
        <v/>
      </c>
      <c r="L20" s="18" t="str">
        <f t="shared" si="2"/>
        <v/>
      </c>
      <c r="M20" s="18" t="str">
        <f t="shared" si="2"/>
        <v/>
      </c>
      <c r="N20" s="18" t="str">
        <f t="shared" si="2"/>
        <v/>
      </c>
      <c r="O20" s="18" t="str">
        <f t="shared" si="2"/>
        <v/>
      </c>
      <c r="P20" s="18" t="str">
        <f t="shared" si="2"/>
        <v/>
      </c>
      <c r="Q20" s="18" t="str">
        <f t="shared" si="2"/>
        <v/>
      </c>
      <c r="R20" s="18" t="str">
        <f t="shared" si="2"/>
        <v/>
      </c>
      <c r="S20" s="18" t="str">
        <f t="shared" si="2"/>
        <v/>
      </c>
      <c r="T20" s="18" t="str">
        <f t="shared" si="3"/>
        <v/>
      </c>
      <c r="U20" s="18" t="str">
        <f t="shared" si="3"/>
        <v/>
      </c>
      <c r="V20" s="18" t="str">
        <f t="shared" si="3"/>
        <v/>
      </c>
      <c r="W20" s="18" t="str">
        <f t="shared" si="3"/>
        <v/>
      </c>
      <c r="X20" s="18" t="str">
        <f t="shared" si="3"/>
        <v>■</v>
      </c>
      <c r="Y20" s="18" t="str">
        <f t="shared" si="3"/>
        <v>■</v>
      </c>
      <c r="Z20" s="18" t="str">
        <f t="shared" si="3"/>
        <v/>
      </c>
    </row>
    <row r="21" spans="1:26" ht="23">
      <c r="A21" s="8" t="s">
        <v>51</v>
      </c>
      <c r="B21" s="9" t="s">
        <v>141</v>
      </c>
      <c r="C21" s="9" t="s">
        <v>10</v>
      </c>
      <c r="D21" s="9" t="s">
        <v>70</v>
      </c>
      <c r="E21" s="9" t="s">
        <v>14</v>
      </c>
      <c r="F21" s="15">
        <v>46194</v>
      </c>
      <c r="G21" s="15">
        <v>46199</v>
      </c>
      <c r="H21" s="9" t="s">
        <v>142</v>
      </c>
      <c r="I21" s="10" t="s">
        <v>143</v>
      </c>
      <c r="J21" s="18" t="str">
        <f t="shared" si="2"/>
        <v/>
      </c>
      <c r="K21" s="18" t="str">
        <f t="shared" si="2"/>
        <v/>
      </c>
      <c r="L21" s="18" t="str">
        <f t="shared" si="2"/>
        <v/>
      </c>
      <c r="M21" s="18" t="str">
        <f t="shared" si="2"/>
        <v/>
      </c>
      <c r="N21" s="18" t="str">
        <f t="shared" si="2"/>
        <v/>
      </c>
      <c r="O21" s="18" t="str">
        <f t="shared" si="2"/>
        <v/>
      </c>
      <c r="P21" s="18" t="str">
        <f t="shared" si="2"/>
        <v/>
      </c>
      <c r="Q21" s="18" t="str">
        <f t="shared" si="2"/>
        <v/>
      </c>
      <c r="R21" s="18" t="str">
        <f t="shared" si="2"/>
        <v/>
      </c>
      <c r="S21" s="18" t="str">
        <f t="shared" si="2"/>
        <v/>
      </c>
      <c r="T21" s="18" t="str">
        <f t="shared" si="3"/>
        <v/>
      </c>
      <c r="U21" s="18" t="str">
        <f t="shared" si="3"/>
        <v>■</v>
      </c>
      <c r="V21" s="18" t="str">
        <f t="shared" si="3"/>
        <v>■</v>
      </c>
      <c r="W21" s="18" t="str">
        <f t="shared" si="3"/>
        <v>■</v>
      </c>
      <c r="X21" s="18" t="str">
        <f t="shared" si="3"/>
        <v>■</v>
      </c>
      <c r="Y21" s="18" t="str">
        <f t="shared" si="3"/>
        <v>■</v>
      </c>
      <c r="Z21" s="18" t="str">
        <f t="shared" si="3"/>
        <v>■</v>
      </c>
    </row>
    <row r="22" spans="1:26">
      <c r="A22" s="8" t="s">
        <v>51</v>
      </c>
      <c r="B22" s="9" t="s">
        <v>144</v>
      </c>
      <c r="C22" s="9" t="s">
        <v>10</v>
      </c>
      <c r="D22" s="9" t="s">
        <v>15</v>
      </c>
      <c r="E22" s="9" t="s">
        <v>19</v>
      </c>
      <c r="F22" s="15">
        <v>46197</v>
      </c>
      <c r="G22" s="15">
        <v>46199</v>
      </c>
      <c r="H22" s="9" t="s">
        <v>145</v>
      </c>
      <c r="I22" s="10" t="s">
        <v>146</v>
      </c>
      <c r="J22" s="18" t="str">
        <f t="shared" si="2"/>
        <v/>
      </c>
      <c r="K22" s="18" t="str">
        <f t="shared" si="2"/>
        <v/>
      </c>
      <c r="L22" s="18" t="str">
        <f t="shared" si="2"/>
        <v/>
      </c>
      <c r="M22" s="18" t="str">
        <f t="shared" si="2"/>
        <v/>
      </c>
      <c r="N22" s="18" t="str">
        <f t="shared" si="2"/>
        <v/>
      </c>
      <c r="O22" s="18" t="str">
        <f t="shared" si="2"/>
        <v/>
      </c>
      <c r="P22" s="18" t="str">
        <f t="shared" si="2"/>
        <v/>
      </c>
      <c r="Q22" s="18" t="str">
        <f t="shared" si="2"/>
        <v/>
      </c>
      <c r="R22" s="18" t="str">
        <f t="shared" si="2"/>
        <v/>
      </c>
      <c r="S22" s="18" t="str">
        <f t="shared" si="2"/>
        <v/>
      </c>
      <c r="T22" s="18" t="str">
        <f t="shared" si="3"/>
        <v/>
      </c>
      <c r="U22" s="18" t="str">
        <f t="shared" si="3"/>
        <v/>
      </c>
      <c r="V22" s="18" t="str">
        <f t="shared" si="3"/>
        <v/>
      </c>
      <c r="W22" s="18" t="str">
        <f t="shared" si="3"/>
        <v/>
      </c>
      <c r="X22" s="18" t="str">
        <f t="shared" si="3"/>
        <v>■</v>
      </c>
      <c r="Y22" s="18" t="str">
        <f t="shared" si="3"/>
        <v>■</v>
      </c>
      <c r="Z22" s="18" t="str">
        <f t="shared" si="3"/>
        <v>■</v>
      </c>
    </row>
    <row r="23" spans="1:26" ht="23">
      <c r="A23" s="8" t="s">
        <v>147</v>
      </c>
      <c r="B23" s="9" t="s">
        <v>148</v>
      </c>
      <c r="C23" s="9" t="s">
        <v>10</v>
      </c>
      <c r="D23" s="9" t="s">
        <v>70</v>
      </c>
      <c r="E23" s="9" t="s">
        <v>19</v>
      </c>
      <c r="F23" s="15">
        <v>46198</v>
      </c>
      <c r="G23" s="15">
        <v>46199</v>
      </c>
      <c r="H23" s="9" t="s">
        <v>149</v>
      </c>
      <c r="I23" s="10" t="s">
        <v>150</v>
      </c>
      <c r="J23" s="18" t="str">
        <f t="shared" si="2"/>
        <v/>
      </c>
      <c r="K23" s="18" t="str">
        <f t="shared" si="2"/>
        <v/>
      </c>
      <c r="L23" s="18" t="str">
        <f t="shared" si="2"/>
        <v/>
      </c>
      <c r="M23" s="18" t="str">
        <f t="shared" si="2"/>
        <v/>
      </c>
      <c r="N23" s="18" t="str">
        <f t="shared" si="2"/>
        <v/>
      </c>
      <c r="O23" s="18" t="str">
        <f t="shared" si="2"/>
        <v/>
      </c>
      <c r="P23" s="18" t="str">
        <f t="shared" si="2"/>
        <v/>
      </c>
      <c r="Q23" s="18" t="str">
        <f t="shared" si="2"/>
        <v/>
      </c>
      <c r="R23" s="18" t="str">
        <f t="shared" si="2"/>
        <v/>
      </c>
      <c r="S23" s="18" t="str">
        <f t="shared" si="2"/>
        <v/>
      </c>
      <c r="T23" s="18" t="str">
        <f t="shared" si="3"/>
        <v/>
      </c>
      <c r="U23" s="18" t="str">
        <f t="shared" si="3"/>
        <v/>
      </c>
      <c r="V23" s="18" t="str">
        <f t="shared" si="3"/>
        <v/>
      </c>
      <c r="W23" s="18" t="str">
        <f t="shared" si="3"/>
        <v/>
      </c>
      <c r="X23" s="18" t="str">
        <f t="shared" si="3"/>
        <v/>
      </c>
      <c r="Y23" s="18" t="str">
        <f t="shared" si="3"/>
        <v>■</v>
      </c>
      <c r="Z23" s="18" t="str">
        <f t="shared" si="3"/>
        <v>■</v>
      </c>
    </row>
    <row r="24" spans="1:26" ht="23">
      <c r="A24" s="11" t="s">
        <v>147</v>
      </c>
      <c r="B24" s="12" t="s">
        <v>151</v>
      </c>
      <c r="C24" s="12" t="s">
        <v>10</v>
      </c>
      <c r="D24" s="12" t="s">
        <v>152</v>
      </c>
      <c r="E24" s="12" t="s">
        <v>19</v>
      </c>
      <c r="F24" s="16">
        <v>46198</v>
      </c>
      <c r="G24" s="16">
        <v>46199</v>
      </c>
      <c r="H24" s="12" t="s">
        <v>153</v>
      </c>
      <c r="I24" s="13" t="s">
        <v>154</v>
      </c>
      <c r="J24" s="18" t="str">
        <f t="shared" si="2"/>
        <v/>
      </c>
      <c r="K24" s="18" t="str">
        <f t="shared" si="2"/>
        <v/>
      </c>
      <c r="L24" s="18" t="str">
        <f t="shared" si="2"/>
        <v/>
      </c>
      <c r="M24" s="18" t="str">
        <f t="shared" si="2"/>
        <v/>
      </c>
      <c r="N24" s="18" t="str">
        <f t="shared" si="2"/>
        <v/>
      </c>
      <c r="O24" s="18" t="str">
        <f t="shared" si="2"/>
        <v/>
      </c>
      <c r="P24" s="18" t="str">
        <f t="shared" si="2"/>
        <v/>
      </c>
      <c r="Q24" s="18" t="str">
        <f t="shared" si="2"/>
        <v/>
      </c>
      <c r="R24" s="18" t="str">
        <f t="shared" si="2"/>
        <v/>
      </c>
      <c r="S24" s="18" t="str">
        <f t="shared" si="2"/>
        <v/>
      </c>
      <c r="T24" s="18" t="str">
        <f t="shared" si="3"/>
        <v/>
      </c>
      <c r="U24" s="18" t="str">
        <f t="shared" si="3"/>
        <v/>
      </c>
      <c r="V24" s="18" t="str">
        <f t="shared" si="3"/>
        <v/>
      </c>
      <c r="W24" s="18" t="str">
        <f t="shared" si="3"/>
        <v/>
      </c>
      <c r="X24" s="18" t="str">
        <f t="shared" si="3"/>
        <v/>
      </c>
      <c r="Y24" s="18" t="str">
        <f t="shared" si="3"/>
        <v>■</v>
      </c>
      <c r="Z24" s="18" t="str">
        <f t="shared" si="3"/>
        <v>■</v>
      </c>
    </row>
  </sheetData>
  <mergeCells count="3">
    <mergeCell ref="A1:Z1"/>
    <mergeCell ref="A2:Z2"/>
    <mergeCell ref="J4:Z4"/>
  </mergeCells>
  <conditionalFormatting sqref="E6:E24">
    <cfRule type="containsText" dxfId="7" priority="1" operator="containsText" text="Completed"/>
    <cfRule type="containsText" dxfId="6" priority="2" operator="containsText" text="Final QA"/>
    <cfRule type="containsText" dxfId="5" priority="3" operator="containsText" text="In Progress"/>
    <cfRule type="containsText" dxfId="4" priority="4" operator="containsText" text="Planned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showGridLines="0" tabSelected="1" workbookViewId="0">
      <selection sqref="A1:J1"/>
    </sheetView>
  </sheetViews>
  <sheetFormatPr baseColWidth="10" defaultColWidth="8.6640625" defaultRowHeight="14"/>
  <cols>
    <col min="1" max="1" width="17" customWidth="1"/>
    <col min="2" max="2" width="35" customWidth="1"/>
    <col min="3" max="3" width="16" customWidth="1"/>
    <col min="4" max="4" width="22" customWidth="1"/>
    <col min="5" max="5" width="13" customWidth="1"/>
    <col min="6" max="8" width="12" customWidth="1"/>
    <col min="9" max="9" width="34" customWidth="1"/>
    <col min="10" max="10" width="48" customWidth="1"/>
  </cols>
  <sheetData>
    <row r="1" spans="1:10" ht="23">
      <c r="A1" s="19" t="s">
        <v>155</v>
      </c>
      <c r="B1" s="19" t="s">
        <v>155</v>
      </c>
      <c r="C1" s="19" t="s">
        <v>155</v>
      </c>
      <c r="D1" s="19" t="s">
        <v>155</v>
      </c>
      <c r="E1" s="19" t="s">
        <v>155</v>
      </c>
      <c r="F1" s="19" t="s">
        <v>155</v>
      </c>
      <c r="G1" s="19" t="s">
        <v>155</v>
      </c>
      <c r="H1" s="19" t="s">
        <v>155</v>
      </c>
      <c r="I1" s="19" t="s">
        <v>155</v>
      </c>
      <c r="J1" s="19" t="s">
        <v>155</v>
      </c>
    </row>
    <row r="2" spans="1:10">
      <c r="A2" s="20" t="s">
        <v>156</v>
      </c>
      <c r="B2" s="20" t="s">
        <v>156</v>
      </c>
      <c r="C2" s="20" t="s">
        <v>156</v>
      </c>
      <c r="D2" s="20" t="s">
        <v>156</v>
      </c>
      <c r="E2" s="20" t="s">
        <v>156</v>
      </c>
      <c r="F2" s="20" t="s">
        <v>156</v>
      </c>
      <c r="G2" s="20" t="s">
        <v>156</v>
      </c>
      <c r="H2" s="20" t="s">
        <v>156</v>
      </c>
      <c r="I2" s="20" t="s">
        <v>156</v>
      </c>
      <c r="J2" s="20" t="s">
        <v>156</v>
      </c>
    </row>
    <row r="3" spans="1:10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>
      <c r="A5" s="2" t="s">
        <v>84</v>
      </c>
      <c r="B5" s="2" t="s">
        <v>157</v>
      </c>
      <c r="C5" s="2" t="s">
        <v>158</v>
      </c>
      <c r="D5" s="2" t="s">
        <v>159</v>
      </c>
      <c r="E5" s="2" t="s">
        <v>33</v>
      </c>
      <c r="F5" s="2" t="s">
        <v>160</v>
      </c>
      <c r="G5" s="2" t="s">
        <v>161</v>
      </c>
      <c r="H5" s="2" t="s">
        <v>162</v>
      </c>
      <c r="I5" s="2" t="s">
        <v>31</v>
      </c>
      <c r="J5" s="2" t="s">
        <v>38</v>
      </c>
    </row>
    <row r="6" spans="1:10">
      <c r="A6" s="4" t="s">
        <v>90</v>
      </c>
      <c r="B6" s="5" t="s">
        <v>163</v>
      </c>
      <c r="C6" s="5" t="s">
        <v>10</v>
      </c>
      <c r="D6" s="5" t="s">
        <v>70</v>
      </c>
      <c r="E6" s="5" t="s">
        <v>14</v>
      </c>
      <c r="F6" s="14">
        <v>46183</v>
      </c>
      <c r="G6" s="14">
        <v>46187</v>
      </c>
      <c r="H6" s="14">
        <v>46187</v>
      </c>
      <c r="I6" s="5" t="s">
        <v>164</v>
      </c>
      <c r="J6" s="6" t="s">
        <v>165</v>
      </c>
    </row>
    <row r="7" spans="1:10">
      <c r="A7" s="8" t="s">
        <v>90</v>
      </c>
      <c r="B7" s="9" t="s">
        <v>166</v>
      </c>
      <c r="C7" s="9" t="s">
        <v>10</v>
      </c>
      <c r="D7" s="9" t="s">
        <v>15</v>
      </c>
      <c r="E7" s="9" t="s">
        <v>14</v>
      </c>
      <c r="F7" s="15">
        <v>46187</v>
      </c>
      <c r="G7" s="15">
        <v>46188</v>
      </c>
      <c r="H7" s="15">
        <v>46188</v>
      </c>
      <c r="I7" s="9" t="s">
        <v>167</v>
      </c>
      <c r="J7" s="10" t="s">
        <v>168</v>
      </c>
    </row>
    <row r="8" spans="1:10" ht="23">
      <c r="A8" s="8" t="s">
        <v>90</v>
      </c>
      <c r="B8" s="9" t="s">
        <v>169</v>
      </c>
      <c r="C8" s="9" t="s">
        <v>10</v>
      </c>
      <c r="D8" s="9" t="s">
        <v>15</v>
      </c>
      <c r="E8" s="9" t="s">
        <v>14</v>
      </c>
      <c r="F8" s="15">
        <v>46188</v>
      </c>
      <c r="G8" s="15">
        <v>46189</v>
      </c>
      <c r="H8" s="15">
        <v>46189</v>
      </c>
      <c r="I8" s="9" t="s">
        <v>170</v>
      </c>
      <c r="J8" s="10" t="s">
        <v>171</v>
      </c>
    </row>
    <row r="9" spans="1:10">
      <c r="A9" s="8" t="s">
        <v>90</v>
      </c>
      <c r="B9" s="9" t="s">
        <v>172</v>
      </c>
      <c r="C9" s="9" t="s">
        <v>10</v>
      </c>
      <c r="D9" s="9" t="s">
        <v>25</v>
      </c>
      <c r="E9" s="9" t="s">
        <v>14</v>
      </c>
      <c r="F9" s="15">
        <v>46188</v>
      </c>
      <c r="G9" s="15">
        <v>46188</v>
      </c>
      <c r="H9" s="15">
        <v>46188</v>
      </c>
      <c r="I9" s="9" t="s">
        <v>173</v>
      </c>
      <c r="J9" s="10" t="s">
        <v>174</v>
      </c>
    </row>
    <row r="10" spans="1:10" ht="23">
      <c r="A10" s="8" t="s">
        <v>175</v>
      </c>
      <c r="B10" s="9" t="s">
        <v>176</v>
      </c>
      <c r="C10" s="9" t="s">
        <v>10</v>
      </c>
      <c r="D10" s="9" t="s">
        <v>15</v>
      </c>
      <c r="E10" s="9" t="s">
        <v>14</v>
      </c>
      <c r="F10" s="15">
        <v>46189</v>
      </c>
      <c r="G10" s="15">
        <v>46191</v>
      </c>
      <c r="H10" s="15">
        <v>46191</v>
      </c>
      <c r="I10" s="9" t="s">
        <v>177</v>
      </c>
      <c r="J10" s="10" t="s">
        <v>178</v>
      </c>
    </row>
    <row r="11" spans="1:10">
      <c r="A11" s="8" t="s">
        <v>175</v>
      </c>
      <c r="B11" s="9" t="s">
        <v>179</v>
      </c>
      <c r="C11" s="9" t="s">
        <v>10</v>
      </c>
      <c r="D11" s="9" t="s">
        <v>15</v>
      </c>
      <c r="E11" s="9" t="s">
        <v>14</v>
      </c>
      <c r="F11" s="15">
        <v>46189</v>
      </c>
      <c r="G11" s="15">
        <v>46191</v>
      </c>
      <c r="H11" s="15">
        <v>46191</v>
      </c>
      <c r="I11" s="9" t="s">
        <v>180</v>
      </c>
      <c r="J11" s="10" t="s">
        <v>181</v>
      </c>
    </row>
    <row r="12" spans="1:10">
      <c r="A12" s="8" t="s">
        <v>175</v>
      </c>
      <c r="B12" s="9" t="s">
        <v>182</v>
      </c>
      <c r="C12" s="9" t="s">
        <v>10</v>
      </c>
      <c r="D12" s="9" t="s">
        <v>15</v>
      </c>
      <c r="E12" s="9" t="s">
        <v>14</v>
      </c>
      <c r="F12" s="15">
        <v>46188</v>
      </c>
      <c r="G12" s="15">
        <v>46192</v>
      </c>
      <c r="H12" s="15">
        <v>46192</v>
      </c>
      <c r="I12" s="9" t="s">
        <v>183</v>
      </c>
      <c r="J12" s="10" t="s">
        <v>184</v>
      </c>
    </row>
    <row r="13" spans="1:10">
      <c r="A13" s="8" t="s">
        <v>175</v>
      </c>
      <c r="B13" s="9" t="s">
        <v>185</v>
      </c>
      <c r="C13" s="9" t="s">
        <v>10</v>
      </c>
      <c r="D13" s="9" t="s">
        <v>15</v>
      </c>
      <c r="E13" s="9" t="s">
        <v>14</v>
      </c>
      <c r="F13" s="15">
        <v>46191</v>
      </c>
      <c r="G13" s="15">
        <v>46192</v>
      </c>
      <c r="H13" s="15">
        <v>46192</v>
      </c>
      <c r="I13" s="9" t="s">
        <v>186</v>
      </c>
      <c r="J13" s="10" t="s">
        <v>187</v>
      </c>
    </row>
    <row r="14" spans="1:10">
      <c r="A14" s="8" t="s">
        <v>175</v>
      </c>
      <c r="B14" s="9" t="s">
        <v>188</v>
      </c>
      <c r="C14" s="9" t="s">
        <v>10</v>
      </c>
      <c r="D14" s="9" t="s">
        <v>15</v>
      </c>
      <c r="E14" s="9" t="s">
        <v>14</v>
      </c>
      <c r="F14" s="15">
        <v>46191</v>
      </c>
      <c r="G14" s="15">
        <v>46192</v>
      </c>
      <c r="H14" s="15">
        <v>46192</v>
      </c>
      <c r="I14" s="9" t="s">
        <v>189</v>
      </c>
      <c r="J14" s="10" t="s">
        <v>190</v>
      </c>
    </row>
    <row r="15" spans="1:10">
      <c r="A15" s="8" t="s">
        <v>175</v>
      </c>
      <c r="B15" s="9" t="s">
        <v>191</v>
      </c>
      <c r="C15" s="9" t="s">
        <v>10</v>
      </c>
      <c r="D15" s="9" t="s">
        <v>15</v>
      </c>
      <c r="E15" s="9" t="s">
        <v>14</v>
      </c>
      <c r="F15" s="15">
        <v>46191</v>
      </c>
      <c r="G15" s="15">
        <v>46194</v>
      </c>
      <c r="H15" s="15">
        <v>46194</v>
      </c>
      <c r="I15" s="9" t="s">
        <v>192</v>
      </c>
      <c r="J15" s="10" t="s">
        <v>193</v>
      </c>
    </row>
    <row r="16" spans="1:10">
      <c r="A16" s="8" t="s">
        <v>175</v>
      </c>
      <c r="B16" s="9" t="s">
        <v>194</v>
      </c>
      <c r="C16" s="9" t="s">
        <v>10</v>
      </c>
      <c r="D16" s="9" t="s">
        <v>15</v>
      </c>
      <c r="E16" s="9" t="s">
        <v>14</v>
      </c>
      <c r="F16" s="15">
        <v>46188</v>
      </c>
      <c r="G16" s="15">
        <v>46191</v>
      </c>
      <c r="H16" s="15">
        <v>46191</v>
      </c>
      <c r="I16" s="9" t="s">
        <v>195</v>
      </c>
      <c r="J16" s="10" t="s">
        <v>196</v>
      </c>
    </row>
    <row r="17" spans="1:10">
      <c r="A17" s="8" t="s">
        <v>175</v>
      </c>
      <c r="B17" s="9" t="s">
        <v>197</v>
      </c>
      <c r="C17" s="9" t="s">
        <v>10</v>
      </c>
      <c r="D17" s="9" t="s">
        <v>15</v>
      </c>
      <c r="E17" s="9" t="s">
        <v>14</v>
      </c>
      <c r="F17" s="15">
        <v>46191</v>
      </c>
      <c r="G17" s="15">
        <v>46198</v>
      </c>
      <c r="H17" s="15">
        <v>46198</v>
      </c>
      <c r="I17" s="9" t="s">
        <v>198</v>
      </c>
      <c r="J17" s="10" t="s">
        <v>199</v>
      </c>
    </row>
    <row r="18" spans="1:10" ht="23">
      <c r="A18" s="8" t="s">
        <v>175</v>
      </c>
      <c r="B18" s="9" t="s">
        <v>200</v>
      </c>
      <c r="C18" s="9" t="s">
        <v>15</v>
      </c>
      <c r="D18" s="9" t="s">
        <v>10</v>
      </c>
      <c r="E18" s="9" t="s">
        <v>14</v>
      </c>
      <c r="F18" s="15">
        <v>46189</v>
      </c>
      <c r="G18" s="15">
        <v>46196</v>
      </c>
      <c r="H18" s="15">
        <v>46196</v>
      </c>
      <c r="I18" s="9" t="s">
        <v>201</v>
      </c>
      <c r="J18" s="10" t="s">
        <v>202</v>
      </c>
    </row>
    <row r="19" spans="1:10">
      <c r="A19" s="8" t="s">
        <v>175</v>
      </c>
      <c r="B19" s="9" t="s">
        <v>203</v>
      </c>
      <c r="C19" s="9" t="s">
        <v>15</v>
      </c>
      <c r="D19" s="9" t="s">
        <v>10</v>
      </c>
      <c r="E19" s="9" t="s">
        <v>14</v>
      </c>
      <c r="F19" s="15">
        <v>46193</v>
      </c>
      <c r="G19" s="15">
        <v>46196</v>
      </c>
      <c r="H19" s="15">
        <v>46196</v>
      </c>
      <c r="I19" s="9" t="s">
        <v>204</v>
      </c>
      <c r="J19" s="10" t="s">
        <v>205</v>
      </c>
    </row>
    <row r="20" spans="1:10">
      <c r="A20" s="8" t="s">
        <v>175</v>
      </c>
      <c r="B20" s="9" t="s">
        <v>206</v>
      </c>
      <c r="C20" s="9" t="s">
        <v>15</v>
      </c>
      <c r="D20" s="9" t="s">
        <v>10</v>
      </c>
      <c r="E20" s="9" t="s">
        <v>14</v>
      </c>
      <c r="F20" s="15">
        <v>46190</v>
      </c>
      <c r="G20" s="15">
        <v>46196</v>
      </c>
      <c r="H20" s="15">
        <v>46196</v>
      </c>
      <c r="I20" s="9" t="s">
        <v>207</v>
      </c>
      <c r="J20" s="10" t="s">
        <v>208</v>
      </c>
    </row>
    <row r="21" spans="1:10">
      <c r="A21" s="8" t="s">
        <v>175</v>
      </c>
      <c r="B21" s="9" t="s">
        <v>209</v>
      </c>
      <c r="C21" s="9" t="s">
        <v>15</v>
      </c>
      <c r="D21" s="9" t="s">
        <v>10</v>
      </c>
      <c r="E21" s="9" t="s">
        <v>14</v>
      </c>
      <c r="F21" s="15">
        <v>46190</v>
      </c>
      <c r="G21" s="15">
        <v>46198</v>
      </c>
      <c r="H21" s="15">
        <v>46198</v>
      </c>
      <c r="I21" s="9" t="s">
        <v>210</v>
      </c>
      <c r="J21" s="10" t="s">
        <v>211</v>
      </c>
    </row>
    <row r="22" spans="1:10">
      <c r="A22" s="8" t="s">
        <v>175</v>
      </c>
      <c r="B22" s="9" t="s">
        <v>212</v>
      </c>
      <c r="C22" s="9" t="s">
        <v>10</v>
      </c>
      <c r="D22" s="9" t="s">
        <v>15</v>
      </c>
      <c r="E22" s="9" t="s">
        <v>14</v>
      </c>
      <c r="F22" s="15">
        <v>46191</v>
      </c>
      <c r="G22" s="15">
        <v>46197</v>
      </c>
      <c r="H22" s="15">
        <v>46197</v>
      </c>
      <c r="I22" s="9" t="s">
        <v>213</v>
      </c>
      <c r="J22" s="10" t="s">
        <v>214</v>
      </c>
    </row>
    <row r="23" spans="1:10">
      <c r="A23" s="8" t="s">
        <v>175</v>
      </c>
      <c r="B23" s="9" t="s">
        <v>215</v>
      </c>
      <c r="C23" s="9" t="s">
        <v>10</v>
      </c>
      <c r="D23" s="9" t="s">
        <v>15</v>
      </c>
      <c r="E23" s="9" t="s">
        <v>14</v>
      </c>
      <c r="F23" s="15">
        <v>46196</v>
      </c>
      <c r="G23" s="15">
        <v>46197</v>
      </c>
      <c r="H23" s="15">
        <v>46197</v>
      </c>
      <c r="I23" s="9" t="s">
        <v>216</v>
      </c>
      <c r="J23" s="10" t="s">
        <v>217</v>
      </c>
    </row>
    <row r="24" spans="1:10">
      <c r="A24" s="8" t="s">
        <v>117</v>
      </c>
      <c r="B24" s="9" t="s">
        <v>218</v>
      </c>
      <c r="C24" s="9" t="s">
        <v>20</v>
      </c>
      <c r="D24" s="9" t="s">
        <v>10</v>
      </c>
      <c r="E24" s="9" t="s">
        <v>14</v>
      </c>
      <c r="F24" s="15">
        <v>46188</v>
      </c>
      <c r="G24" s="15">
        <v>46196</v>
      </c>
      <c r="H24" s="15">
        <v>46196</v>
      </c>
      <c r="I24" s="9" t="s">
        <v>219</v>
      </c>
      <c r="J24" s="10" t="s">
        <v>220</v>
      </c>
    </row>
    <row r="25" spans="1:10" ht="23">
      <c r="A25" s="8" t="s">
        <v>117</v>
      </c>
      <c r="B25" s="9" t="s">
        <v>221</v>
      </c>
      <c r="C25" s="9" t="s">
        <v>20</v>
      </c>
      <c r="D25" s="9" t="s">
        <v>10</v>
      </c>
      <c r="E25" s="9" t="s">
        <v>19</v>
      </c>
      <c r="F25" s="15">
        <v>46188</v>
      </c>
      <c r="G25" s="15">
        <v>46199</v>
      </c>
      <c r="H25" s="15">
        <v>46199</v>
      </c>
      <c r="I25" s="9" t="s">
        <v>222</v>
      </c>
      <c r="J25" s="10" t="s">
        <v>223</v>
      </c>
    </row>
    <row r="26" spans="1:10">
      <c r="A26" s="8" t="s">
        <v>117</v>
      </c>
      <c r="B26" s="9" t="s">
        <v>224</v>
      </c>
      <c r="C26" s="9" t="s">
        <v>20</v>
      </c>
      <c r="D26" s="9" t="s">
        <v>10</v>
      </c>
      <c r="E26" s="9" t="s">
        <v>14</v>
      </c>
      <c r="F26" s="15">
        <v>46188</v>
      </c>
      <c r="G26" s="15">
        <v>46198</v>
      </c>
      <c r="H26" s="15">
        <v>46198</v>
      </c>
      <c r="I26" s="9" t="s">
        <v>225</v>
      </c>
      <c r="J26" s="10" t="s">
        <v>226</v>
      </c>
    </row>
    <row r="27" spans="1:10" ht="23">
      <c r="A27" s="8" t="s">
        <v>117</v>
      </c>
      <c r="B27" s="9" t="s">
        <v>227</v>
      </c>
      <c r="C27" s="9" t="s">
        <v>20</v>
      </c>
      <c r="D27" s="9" t="s">
        <v>10</v>
      </c>
      <c r="E27" s="9" t="s">
        <v>14</v>
      </c>
      <c r="F27" s="15">
        <v>46190</v>
      </c>
      <c r="G27" s="15">
        <v>46196</v>
      </c>
      <c r="H27" s="15">
        <v>46196</v>
      </c>
      <c r="I27" s="9" t="s">
        <v>228</v>
      </c>
      <c r="J27" s="10" t="s">
        <v>229</v>
      </c>
    </row>
    <row r="28" spans="1:10" ht="23">
      <c r="A28" s="8" t="s">
        <v>117</v>
      </c>
      <c r="B28" s="9" t="s">
        <v>230</v>
      </c>
      <c r="C28" s="9" t="s">
        <v>20</v>
      </c>
      <c r="D28" s="9" t="s">
        <v>10</v>
      </c>
      <c r="E28" s="9" t="s">
        <v>14</v>
      </c>
      <c r="F28" s="15">
        <v>46190</v>
      </c>
      <c r="G28" s="15">
        <v>46197</v>
      </c>
      <c r="H28" s="15">
        <v>46197</v>
      </c>
      <c r="I28" s="9" t="s">
        <v>231</v>
      </c>
      <c r="J28" s="10" t="s">
        <v>232</v>
      </c>
    </row>
    <row r="29" spans="1:10">
      <c r="A29" s="8" t="s">
        <v>117</v>
      </c>
      <c r="B29" s="9" t="s">
        <v>233</v>
      </c>
      <c r="C29" s="9" t="s">
        <v>20</v>
      </c>
      <c r="D29" s="9" t="s">
        <v>10</v>
      </c>
      <c r="E29" s="9" t="s">
        <v>14</v>
      </c>
      <c r="F29" s="15">
        <v>46191</v>
      </c>
      <c r="G29" s="15">
        <v>46198</v>
      </c>
      <c r="H29" s="15">
        <v>46198</v>
      </c>
      <c r="I29" s="9" t="s">
        <v>234</v>
      </c>
      <c r="J29" s="10" t="s">
        <v>235</v>
      </c>
    </row>
    <row r="30" spans="1:10" ht="23">
      <c r="A30" s="8" t="s">
        <v>236</v>
      </c>
      <c r="B30" s="9" t="s">
        <v>237</v>
      </c>
      <c r="C30" s="9" t="s">
        <v>10</v>
      </c>
      <c r="D30" s="9" t="s">
        <v>20</v>
      </c>
      <c r="E30" s="9" t="s">
        <v>14</v>
      </c>
      <c r="F30" s="15">
        <v>46190</v>
      </c>
      <c r="G30" s="15">
        <v>46198</v>
      </c>
      <c r="H30" s="15">
        <v>46198</v>
      </c>
      <c r="I30" s="9" t="s">
        <v>238</v>
      </c>
      <c r="J30" s="10" t="s">
        <v>239</v>
      </c>
    </row>
    <row r="31" spans="1:10">
      <c r="A31" s="8" t="s">
        <v>236</v>
      </c>
      <c r="B31" s="9" t="s">
        <v>240</v>
      </c>
      <c r="C31" s="9" t="s">
        <v>10</v>
      </c>
      <c r="D31" s="9" t="s">
        <v>20</v>
      </c>
      <c r="E31" s="9" t="s">
        <v>14</v>
      </c>
      <c r="F31" s="15">
        <v>46193</v>
      </c>
      <c r="G31" s="15">
        <v>46198</v>
      </c>
      <c r="H31" s="15">
        <v>46198</v>
      </c>
      <c r="I31" s="9" t="s">
        <v>241</v>
      </c>
      <c r="J31" s="10" t="s">
        <v>242</v>
      </c>
    </row>
    <row r="32" spans="1:10">
      <c r="A32" s="8" t="s">
        <v>236</v>
      </c>
      <c r="B32" s="9" t="s">
        <v>243</v>
      </c>
      <c r="C32" s="9" t="s">
        <v>10</v>
      </c>
      <c r="D32" s="9" t="s">
        <v>15</v>
      </c>
      <c r="E32" s="9" t="s">
        <v>14</v>
      </c>
      <c r="F32" s="15">
        <v>46192</v>
      </c>
      <c r="G32" s="15">
        <v>46194</v>
      </c>
      <c r="H32" s="15">
        <v>46194</v>
      </c>
      <c r="I32" s="9" t="s">
        <v>244</v>
      </c>
      <c r="J32" s="10" t="s">
        <v>245</v>
      </c>
    </row>
    <row r="33" spans="1:10" ht="23">
      <c r="A33" s="8" t="s">
        <v>236</v>
      </c>
      <c r="B33" s="9" t="s">
        <v>246</v>
      </c>
      <c r="C33" s="9" t="s">
        <v>10</v>
      </c>
      <c r="D33" s="9" t="s">
        <v>70</v>
      </c>
      <c r="E33" s="9" t="s">
        <v>14</v>
      </c>
      <c r="F33" s="15">
        <v>46194</v>
      </c>
      <c r="G33" s="15">
        <v>46198</v>
      </c>
      <c r="H33" s="15">
        <v>46198</v>
      </c>
      <c r="I33" s="9" t="s">
        <v>247</v>
      </c>
      <c r="J33" s="10" t="s">
        <v>248</v>
      </c>
    </row>
    <row r="34" spans="1:10" ht="23">
      <c r="A34" s="8" t="s">
        <v>249</v>
      </c>
      <c r="B34" s="9" t="s">
        <v>250</v>
      </c>
      <c r="C34" s="9" t="s">
        <v>25</v>
      </c>
      <c r="D34" s="9" t="s">
        <v>10</v>
      </c>
      <c r="E34" s="9" t="s">
        <v>14</v>
      </c>
      <c r="F34" s="15">
        <v>46190</v>
      </c>
      <c r="G34" s="15">
        <v>46198</v>
      </c>
      <c r="H34" s="15">
        <v>46198</v>
      </c>
      <c r="I34" s="9" t="s">
        <v>251</v>
      </c>
      <c r="J34" s="10" t="s">
        <v>252</v>
      </c>
    </row>
    <row r="35" spans="1:10">
      <c r="A35" s="8" t="s">
        <v>249</v>
      </c>
      <c r="B35" s="9" t="s">
        <v>253</v>
      </c>
      <c r="C35" s="9" t="s">
        <v>25</v>
      </c>
      <c r="D35" s="9" t="s">
        <v>10</v>
      </c>
      <c r="E35" s="9" t="s">
        <v>14</v>
      </c>
      <c r="F35" s="15">
        <v>46190</v>
      </c>
      <c r="G35" s="15">
        <v>46198</v>
      </c>
      <c r="H35" s="15">
        <v>46198</v>
      </c>
      <c r="I35" s="9" t="s">
        <v>254</v>
      </c>
      <c r="J35" s="10" t="s">
        <v>255</v>
      </c>
    </row>
    <row r="36" spans="1:10">
      <c r="A36" s="8" t="s">
        <v>249</v>
      </c>
      <c r="B36" s="9" t="s">
        <v>256</v>
      </c>
      <c r="C36" s="9" t="s">
        <v>10</v>
      </c>
      <c r="D36" s="9" t="s">
        <v>25</v>
      </c>
      <c r="E36" s="9" t="s">
        <v>14</v>
      </c>
      <c r="F36" s="15">
        <v>46195</v>
      </c>
      <c r="G36" s="15">
        <v>46198</v>
      </c>
      <c r="H36" s="15">
        <v>46198</v>
      </c>
      <c r="I36" s="9" t="s">
        <v>257</v>
      </c>
      <c r="J36" s="10" t="s">
        <v>258</v>
      </c>
    </row>
    <row r="37" spans="1:10">
      <c r="A37" s="8" t="s">
        <v>249</v>
      </c>
      <c r="B37" s="9" t="s">
        <v>259</v>
      </c>
      <c r="C37" s="9" t="s">
        <v>10</v>
      </c>
      <c r="D37" s="9" t="s">
        <v>25</v>
      </c>
      <c r="E37" s="9" t="s">
        <v>14</v>
      </c>
      <c r="F37" s="15">
        <v>46195</v>
      </c>
      <c r="G37" s="15">
        <v>46197</v>
      </c>
      <c r="H37" s="15">
        <v>46197</v>
      </c>
      <c r="I37" s="9" t="s">
        <v>260</v>
      </c>
      <c r="J37" s="10" t="s">
        <v>261</v>
      </c>
    </row>
    <row r="38" spans="1:10">
      <c r="A38" s="8" t="s">
        <v>249</v>
      </c>
      <c r="B38" s="9" t="s">
        <v>262</v>
      </c>
      <c r="C38" s="9" t="s">
        <v>10</v>
      </c>
      <c r="D38" s="9" t="s">
        <v>25</v>
      </c>
      <c r="E38" s="9" t="s">
        <v>14</v>
      </c>
      <c r="F38" s="15">
        <v>46195</v>
      </c>
      <c r="G38" s="15">
        <v>46197</v>
      </c>
      <c r="H38" s="15">
        <v>46197</v>
      </c>
      <c r="I38" s="9" t="s">
        <v>263</v>
      </c>
      <c r="J38" s="10" t="s">
        <v>264</v>
      </c>
    </row>
    <row r="39" spans="1:10">
      <c r="A39" s="8" t="s">
        <v>249</v>
      </c>
      <c r="B39" s="9" t="s">
        <v>265</v>
      </c>
      <c r="C39" s="9" t="s">
        <v>25</v>
      </c>
      <c r="D39" s="9" t="s">
        <v>10</v>
      </c>
      <c r="E39" s="9" t="s">
        <v>14</v>
      </c>
      <c r="F39" s="15">
        <v>46197</v>
      </c>
      <c r="G39" s="15">
        <v>46198</v>
      </c>
      <c r="H39" s="15">
        <v>46198</v>
      </c>
      <c r="I39" s="9" t="s">
        <v>266</v>
      </c>
      <c r="J39" s="10" t="s">
        <v>267</v>
      </c>
    </row>
    <row r="40" spans="1:10">
      <c r="A40" s="8" t="s">
        <v>249</v>
      </c>
      <c r="B40" s="9" t="s">
        <v>268</v>
      </c>
      <c r="C40" s="9" t="s">
        <v>10</v>
      </c>
      <c r="D40" s="9" t="s">
        <v>25</v>
      </c>
      <c r="E40" s="9" t="s">
        <v>14</v>
      </c>
      <c r="F40" s="15">
        <v>46198</v>
      </c>
      <c r="G40" s="15">
        <v>46198</v>
      </c>
      <c r="H40" s="15">
        <v>46198</v>
      </c>
      <c r="I40" s="9" t="s">
        <v>269</v>
      </c>
      <c r="J40" s="10" t="s">
        <v>270</v>
      </c>
    </row>
    <row r="41" spans="1:10">
      <c r="A41" s="8" t="s">
        <v>51</v>
      </c>
      <c r="B41" s="9" t="s">
        <v>271</v>
      </c>
      <c r="C41" s="9" t="s">
        <v>10</v>
      </c>
      <c r="D41" s="9" t="s">
        <v>70</v>
      </c>
      <c r="E41" s="9" t="s">
        <v>14</v>
      </c>
      <c r="F41" s="15">
        <v>46194</v>
      </c>
      <c r="G41" s="15">
        <v>46199</v>
      </c>
      <c r="H41" s="15">
        <v>46199</v>
      </c>
      <c r="I41" s="9" t="s">
        <v>272</v>
      </c>
      <c r="J41" s="10" t="s">
        <v>273</v>
      </c>
    </row>
    <row r="42" spans="1:10" ht="23">
      <c r="A42" s="8" t="s">
        <v>51</v>
      </c>
      <c r="B42" s="9" t="s">
        <v>274</v>
      </c>
      <c r="C42" s="9" t="s">
        <v>10</v>
      </c>
      <c r="D42" s="9" t="s">
        <v>152</v>
      </c>
      <c r="E42" s="9" t="s">
        <v>14</v>
      </c>
      <c r="F42" s="15">
        <v>46188</v>
      </c>
      <c r="G42" s="15">
        <v>46199</v>
      </c>
      <c r="H42" s="15">
        <v>46199</v>
      </c>
      <c r="I42" s="9" t="s">
        <v>275</v>
      </c>
      <c r="J42" s="10" t="s">
        <v>276</v>
      </c>
    </row>
    <row r="43" spans="1:10" ht="23">
      <c r="A43" s="8" t="s">
        <v>51</v>
      </c>
      <c r="B43" s="9" t="s">
        <v>277</v>
      </c>
      <c r="C43" s="9" t="s">
        <v>10</v>
      </c>
      <c r="D43" s="9" t="s">
        <v>70</v>
      </c>
      <c r="E43" s="9" t="s">
        <v>14</v>
      </c>
      <c r="F43" s="15">
        <v>46194</v>
      </c>
      <c r="G43" s="15">
        <v>46199</v>
      </c>
      <c r="H43" s="15">
        <v>46199</v>
      </c>
      <c r="I43" s="9" t="s">
        <v>278</v>
      </c>
      <c r="J43" s="10" t="s">
        <v>279</v>
      </c>
    </row>
    <row r="44" spans="1:10">
      <c r="A44" s="8" t="s">
        <v>147</v>
      </c>
      <c r="B44" s="9" t="s">
        <v>280</v>
      </c>
      <c r="C44" s="9" t="s">
        <v>10</v>
      </c>
      <c r="D44" s="9" t="s">
        <v>15</v>
      </c>
      <c r="E44" s="9" t="s">
        <v>19</v>
      </c>
      <c r="F44" s="15">
        <v>46197</v>
      </c>
      <c r="G44" s="15">
        <v>46199</v>
      </c>
      <c r="H44" s="15">
        <v>46199</v>
      </c>
      <c r="I44" s="9" t="s">
        <v>281</v>
      </c>
      <c r="J44" s="10" t="s">
        <v>282</v>
      </c>
    </row>
    <row r="45" spans="1:10">
      <c r="A45" s="8" t="s">
        <v>147</v>
      </c>
      <c r="B45" s="9" t="s">
        <v>283</v>
      </c>
      <c r="C45" s="9" t="s">
        <v>10</v>
      </c>
      <c r="D45" s="9" t="s">
        <v>70</v>
      </c>
      <c r="E45" s="9" t="s">
        <v>19</v>
      </c>
      <c r="F45" s="15">
        <v>46198</v>
      </c>
      <c r="G45" s="15">
        <v>46199</v>
      </c>
      <c r="H45" s="15">
        <v>46199</v>
      </c>
      <c r="I45" s="9" t="s">
        <v>284</v>
      </c>
      <c r="J45" s="10" t="s">
        <v>285</v>
      </c>
    </row>
    <row r="46" spans="1:10">
      <c r="A46" s="8" t="s">
        <v>147</v>
      </c>
      <c r="B46" s="9" t="s">
        <v>286</v>
      </c>
      <c r="C46" s="9" t="s">
        <v>20</v>
      </c>
      <c r="D46" s="9" t="s">
        <v>70</v>
      </c>
      <c r="E46" s="9" t="s">
        <v>19</v>
      </c>
      <c r="F46" s="15">
        <v>46198</v>
      </c>
      <c r="G46" s="15">
        <v>46199</v>
      </c>
      <c r="H46" s="15">
        <v>46199</v>
      </c>
      <c r="I46" s="9" t="s">
        <v>287</v>
      </c>
      <c r="J46" s="10" t="s">
        <v>288</v>
      </c>
    </row>
    <row r="47" spans="1:10">
      <c r="A47" s="8" t="s">
        <v>147</v>
      </c>
      <c r="B47" s="9" t="s">
        <v>289</v>
      </c>
      <c r="C47" s="9" t="s">
        <v>10</v>
      </c>
      <c r="D47" s="9" t="s">
        <v>152</v>
      </c>
      <c r="E47" s="9" t="s">
        <v>19</v>
      </c>
      <c r="F47" s="15">
        <v>46198</v>
      </c>
      <c r="G47" s="15">
        <v>46199</v>
      </c>
      <c r="H47" s="15">
        <v>46199</v>
      </c>
      <c r="I47" s="9" t="s">
        <v>290</v>
      </c>
      <c r="J47" s="10" t="s">
        <v>291</v>
      </c>
    </row>
    <row r="48" spans="1:10" ht="23">
      <c r="A48" s="11" t="s">
        <v>147</v>
      </c>
      <c r="B48" s="12" t="s">
        <v>292</v>
      </c>
      <c r="C48" s="12" t="s">
        <v>10</v>
      </c>
      <c r="D48" s="12" t="s">
        <v>70</v>
      </c>
      <c r="E48" s="12" t="s">
        <v>19</v>
      </c>
      <c r="F48" s="16">
        <v>46199</v>
      </c>
      <c r="G48" s="16">
        <v>46199</v>
      </c>
      <c r="H48" s="16">
        <v>46199</v>
      </c>
      <c r="I48" s="12" t="s">
        <v>74</v>
      </c>
      <c r="J48" s="13" t="s">
        <v>293</v>
      </c>
    </row>
  </sheetData>
  <mergeCells count="2">
    <mergeCell ref="A1:J1"/>
    <mergeCell ref="A2:J2"/>
  </mergeCells>
  <conditionalFormatting sqref="E6:E48">
    <cfRule type="containsText" dxfId="3" priority="1" operator="containsText" text="Completed"/>
    <cfRule type="containsText" dxfId="2" priority="2" operator="containsText" text="Final QA"/>
    <cfRule type="containsText" dxfId="1" priority="3" operator="containsText" text="In Progress"/>
    <cfRule type="containsText" dxfId="0" priority="4" operator="containsText" text="Planned"/>
  </conditionalFormatting>
  <dataValidations count="2">
    <dataValidation type="list" sqref="C6:C48">
      <formula1>"Lukas,Max,Philip,Istvan"</formula1>
    </dataValidation>
    <dataValidation type="list" sqref="E6:E48">
      <formula1>"Completed,Final QA,In Progress,Planned"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Overview</vt:lpstr>
      <vt:lpstr>Time Plan</vt:lpstr>
      <vt:lpstr>Task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Luki</cp:lastModifiedBy>
  <dcterms:modified xsi:type="dcterms:W3CDTF">2026-07-02T15:13:37Z</dcterms:modified>
</cp:coreProperties>
</file>