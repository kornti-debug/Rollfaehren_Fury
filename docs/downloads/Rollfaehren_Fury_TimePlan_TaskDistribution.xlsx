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15cbf17ce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b723d98554b43d8"/>
    <x:sheet xmlns:r="http://schemas.openxmlformats.org/officeDocument/2006/relationships" name="Time Plan" sheetId="2" r:id="R46f35a2387f8413f"/>
    <x:sheet xmlns:r="http://schemas.openxmlformats.org/officeDocument/2006/relationships" name="Task Distribution" sheetId="3" r:id="R8248b22c5737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dd mmm yyyy"/>
    <x:numFmt numFmtId="202" formatCode="dd"/>
    <x:numFmt numFmtId="203" formatCode="dd mmm"/>
  </x:numFmts>
  <x:fonts count="10">
    <x:font>
      <x:sz val="11"/>
      <x:name val="Carlito"/>
    </x:font>
    <x:font>
      <x:b/>
      <x:sz val="22"/>
      <x:color rgb="FFFFB627"/>
      <x:name val="Aptos Display"/>
    </x:font>
    <x:font>
      <x:i/>
      <x:sz val="10"/>
      <x:color rgb="FFEDF7F5"/>
      <x:name val="Aptos"/>
    </x:font>
    <x:font>
      <x:b/>
      <x:sz val="14"/>
      <x:color rgb="FFEDF7F5"/>
      <x:name val="Aptos Display"/>
    </x:font>
    <x:font>
      <x:b/>
      <x:sz val="11"/>
      <x:color rgb="FFEDF7F5"/>
      <x:name val="Aptos"/>
    </x:font>
    <x:font>
      <x:sz val="10"/>
      <x:color rgb="FF111C25"/>
      <x:name val="Aptos"/>
    </x:font>
    <x:font>
      <x:b/>
      <x:sz val="10"/>
      <x:color rgb="FF111C25"/>
      <x:name val="Aptos"/>
    </x:font>
    <x:font>
      <x:i/>
      <x:sz val="10"/>
      <x:color rgb="FF5E747C"/>
      <x:name val="Aptos"/>
    </x:font>
    <x:font>
      <x:b/>
      <x:sz val="9"/>
      <x:color rgb="FFEDF7F5"/>
      <x:name val="Aptos"/>
    </x:font>
    <x:font>
      <x:b/>
      <x:sz val="10"/>
      <x:color rgb="FFE48C08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11C25"/>
      </x:patternFill>
    </x:fill>
    <x:fill>
      <x:patternFill patternType="solid">
        <x:fgColor rgb="FF172833"/>
      </x:patternFill>
    </x:fill>
    <x:fill>
      <x:patternFill patternType="solid">
        <x:fgColor rgb="FF0A3D4A"/>
      </x:patternFill>
    </x:fill>
    <x:fill>
      <x:patternFill patternType="solid">
        <x:fgColor rgb="FFF7FAF9"/>
      </x:patternFill>
    </x:fill>
    <x:fill>
      <x:patternFill patternType="solid">
        <x:fgColor rgb="FFE4EEEC"/>
      </x:patternFill>
    </x:fill>
    <x:fill>
      <x:patternFill patternType="solid">
        <x:fgColor rgb="FFF3F7F6"/>
      </x:patternFill>
    </x:fill>
  </x:fills>
  <x:borders count="5">
    <x:border/>
    <x:border>
      <x:bottom style="medium">
        <x:color rgb="FFFFB627"/>
      </x:bottom>
    </x:border>
    <x:border>
      <x:bottom style="thin">
        <x:color rgb="FFCBD9D6"/>
      </x:bottom>
    </x:border>
    <x:border>
      <x:right style="thin">
        <x:color rgb="FFE5ECEA"/>
      </x:right>
    </x:border>
    <x:border>
      <x:right style="thin">
        <x:color rgb="FFE5ECEA"/>
      </x:right>
      <x:bottom style="thin">
        <x:color rgb="FFCBD9D6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left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200" fontId="5" fillId="5" borderId="2" xfId="0" applyNumberFormat="1" applyFont="1" applyFill="1" applyBorder="1" applyAlignment="1">
      <x:alignment vertical="top" wrapText="1"/>
    </x:xf>
    <x:xf numFmtId="201" fontId="5" fillId="5" borderId="0" xfId="0" applyNumberFormat="1" applyFont="1" applyFill="1" applyBorder="1" applyAlignment="1">
      <x:alignment vertical="top" wrapText="1"/>
    </x:xf>
    <x:xf numFmtId="201" fontId="5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202" fontId="8" fillId="4" borderId="0" xfId="0" applyNumberFormat="1" applyFont="1" applyFill="1" applyBorder="1" applyAlignment="1">
      <x:alignment horizontal="center" vertical="center"/>
    </x:xf>
    <x:xf numFmtId="203" fontId="5" fillId="5" borderId="0" xfId="0" applyNumberFormat="1" applyFont="1" applyFill="1" applyBorder="1" applyAlignment="1">
      <x:alignment vertical="top" wrapText="1"/>
    </x:xf>
    <x:xf numFmtId="203" fontId="5" fillId="5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3" xfId="0" applyNumberFormat="1" applyFont="1" applyFill="1" applyBorder="1"/>
    <x:xf numFmtId="0" fontId="9" fillId="7" borderId="2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3" xfId="0" applyNumberFormat="1" applyFont="1" applyFill="1" applyBorder="1" applyAlignment="1">
      <x:alignment horizontal="center"/>
    </x:xf>
    <x:xf numFmtId="0" fontId="9" fillId="7" borderId="2" xfId="0" applyNumberFormat="1" applyFont="1" applyFill="1" applyBorder="1" applyAlignment="1">
      <x:alignment horizontal="center"/>
    </x:xf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9" fillId="7" borderId="3" xfId="0" applyNumberFormat="1" applyFont="1" applyFill="1" applyBorder="1" applyAlignment="1">
      <x:alignment horizontal="center" vertical="center"/>
    </x:xf>
    <x:xf numFmtId="0" fontId="9" fillId="7" borderId="2" xfId="0" applyNumberFormat="1" applyFont="1" applyFill="1" applyBorder="1" applyAlignment="1">
      <x:alignment horizontal="center" vertical="center"/>
    </x:xf>
    <x:xf numFmtId="0" fontId="9" fillId="7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9">
    <x:dxf>
      <x:font>
        <x:b/>
        <x:color rgb="FF126B50"/>
      </x:font>
      <x:fill>
        <x:patternFill patternType="solid">
          <x:bgColor rgb="FFD9F2E8"/>
        </x:patternFill>
      </x:fill>
    </x:dxf>
    <x:dxf>
      <x:font>
        <x:b/>
        <x:color rgb="FF145F83"/>
      </x:font>
      <x:fill>
        <x:patternFill patternType="solid">
          <x:bgColor rgb="FFDCEEF7"/>
        </x:patternFill>
      </x:fill>
    </x:dxf>
    <x:dxf>
      <x:font>
        <x:b/>
        <x:color rgb="FF955900"/>
      </x:font>
      <x:fill>
        <x:patternFill patternType="solid">
          <x:bgColor rgb="FFFFF0CE"/>
        </x:patternFill>
      </x:fill>
    </x:dxf>
    <x:dxf>
      <x:font>
        <x:b/>
        <x:color rgb="FF126B50"/>
      </x:font>
      <x:fill>
        <x:patternFill patternType="solid">
          <x:bgColor rgb="FFD9F2E8"/>
        </x:patternFill>
      </x:fill>
    </x:dxf>
    <x:dxf>
      <x:font>
        <x:b/>
        <x:color rgb="FF145F83"/>
      </x:font>
      <x:fill>
        <x:patternFill patternType="solid">
          <x:bgColor rgb="FFDCEEF7"/>
        </x:patternFill>
      </x:fill>
    </x:dxf>
    <x:dxf>
      <x:font>
        <x:b/>
        <x:color rgb="FF955900"/>
      </x:font>
      <x:fill>
        <x:patternFill patternType="solid">
          <x:bgColor rgb="FFFFF0CE"/>
        </x:patternFill>
      </x:fill>
    </x:dxf>
    <x:dxf>
      <x:font>
        <x:b/>
        <x:color rgb="FF126B50"/>
      </x:font>
      <x:fill>
        <x:patternFill patternType="solid">
          <x:bgColor rgb="FFD9F2E8"/>
        </x:patternFill>
      </x:fill>
    </x:dxf>
    <x:dxf>
      <x:font>
        <x:b/>
        <x:color rgb="FF145F83"/>
      </x:font>
      <x:fill>
        <x:patternFill patternType="solid">
          <x:bgColor rgb="FFDCEEF7"/>
        </x:patternFill>
      </x:fill>
    </x:dxf>
    <x:dxf>
      <x:font>
        <x:b/>
        <x:color rgb="FF955900"/>
      </x:font>
      <x:fill>
        <x:patternFill patternType="solid">
          <x:bgColor rgb="FFFFF0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a452d52104bd9" /><Relationship Type="http://schemas.openxmlformats.org/officeDocument/2006/relationships/theme" Target="/xl/theme/theme1.xml" Id="Re5eb951d51074818" /><Relationship Type="http://schemas.openxmlformats.org/officeDocument/2006/relationships/sharedStrings" Target="/xl/sharedStrings.xml" Id="R76259f3f7ad54918" /><Relationship Type="http://schemas.openxmlformats.org/officeDocument/2006/relationships/worksheet" Target="/xl/worksheets/sheet1.xml" Id="R6b723d98554b43d8" /><Relationship Type="http://schemas.openxmlformats.org/officeDocument/2006/relationships/worksheet" Target="/xl/worksheets/sheet2.xml" Id="R46f35a2387f8413f" /><Relationship Type="http://schemas.openxmlformats.org/officeDocument/2006/relationships/worksheet" Target="/xl/worksheets/sheet3.xml" Id="R8248b22c573741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8" hidden="0" customWidth="1"/>
    <x:col min="3" max="3" width="24" hidden="0" customWidth="1"/>
    <x:col min="4" max="4" width="34" hidden="0" customWidth="1"/>
    <x:col min="5" max="5" width="19" hidden="0" customWidth="1"/>
    <x:col min="6" max="6" width="19" hidden="0" customWidth="1"/>
    <x:col min="7" max="7" width="14" hidden="0" customWidth="1"/>
    <x:col min="8" max="8" width="30" hidden="0" customWidth="1"/>
  </x:cols>
  <x:sheetData>
    <x:row r="1" ht="38" customHeight="1">
      <x:c r="A1" s="3" t="str">
        <x:v>ROLLFÄHREN FURY · ASSIGNMENT 2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Time plan and task distribution · actual work through 21 June 2026 · provisional completion phase 22–26 June 2026</x:v>
      </x:c>
      <x:c r="B2" s="6"/>
      <x:c r="C2" s="6"/>
      <x:c r="D2" s="6"/>
      <x:c r="E2" s="6"/>
      <x:c r="F2" s="6"/>
      <x:c r="G2" s="6"/>
      <x:c r="H2" s="6"/>
    </x:row>
    <x:row r="3">
      <x:c r="A3" s="32"/>
      <x:c r="B3" s="32"/>
      <x:c r="C3" s="32"/>
      <x:c r="D3" s="32"/>
      <x:c r="E3" s="32"/>
      <x:c r="F3" s="32"/>
      <x:c r="G3" s="32"/>
      <x:c r="H3" s="32"/>
    </x:row>
    <x:row r="4">
      <x:c r="A4" s="9" t="str">
        <x:v>TEAM RESPONSIBILITIES</x:v>
      </x:c>
      <x:c r="B4" s="9"/>
      <x:c r="C4" s="9"/>
      <x:c r="D4" s="9"/>
      <x:c r="E4" s="32"/>
      <x:c r="F4" s="9" t="str">
        <x:v>PROJECT STATUS</x:v>
      </x:c>
      <x:c r="G4" s="9"/>
      <x:c r="H4" s="9"/>
    </x:row>
    <x:row r="5">
      <x:c r="A5" s="14" t="str">
        <x:v>Member</x:v>
      </x:c>
      <x:c r="B5" s="14" t="str">
        <x:v>Primary disciplines</x:v>
      </x:c>
      <x:c r="C5" s="14" t="str">
        <x:v>Current focus</x:v>
      </x:c>
      <x:c r="D5" s="14" t="str">
        <x:v>Evidence in repository</x:v>
      </x:c>
      <x:c r="E5" s="32"/>
      <x:c r="F5" s="22" t="str">
        <x:v>Tracked tasks</x:v>
      </x:c>
      <x:c r="G5" s="20" t="n">
        <x:f>COUNTA('Task Distribution'!$B$6:$B$35)</x:f>
        <x:v>30</x:v>
      </x:c>
      <x:c r="H5" s="20" t="str">
        <x:v>100%</x:v>
      </x:c>
    </x:row>
    <x:row r="6">
      <x:c r="A6" s="20" t="str">
        <x:v>Lukas</x:v>
      </x:c>
      <x:c r="B6" s="20" t="str">
        <x:v>Unity, coding, 3D modelling</x:v>
      </x:c>
      <x:c r="C6" s="20" t="str">
        <x:v>Integration, environment, documentation</x:v>
      </x:c>
      <x:c r="D6" s="20" t="str">
        <x:v>Gameplay flow, ferry, terrain, shop, docs</x:v>
      </x:c>
      <x:c r="E6" s="32"/>
      <x:c r="F6" s="22" t="str">
        <x:v>Completed</x:v>
      </x:c>
      <x:c r="G6" s="20" t="n">
        <x:f>COUNTIF('Task Distribution'!$E$6:$E$35,"Completed")</x:f>
        <x:v>22</x:v>
      </x:c>
      <x:c r="H6" s="24" t="n">
        <x:f>IF($G$5=0,0,G6/$G$5)</x:f>
        <x:v>0.7333333333333333</x:v>
      </x:c>
    </x:row>
    <x:row r="7">
      <x:c r="A7" s="20" t="str">
        <x:v>Philip</x:v>
      </x:c>
      <x:c r="B7" s="20" t="str">
        <x:v>3D modelling, animation, Unity</x:v>
      </x:c>
      <x:c r="C7" s="20" t="str">
        <x:v>Character and prop finishing</x:v>
      </x:c>
      <x:c r="D7" s="20" t="str">
        <x:v>Fraunz, fish, pigeon, ferry, textures, animation</x:v>
      </x:c>
      <x:c r="E7" s="32"/>
      <x:c r="F7" s="22" t="str">
        <x:v>In progress</x:v>
      </x:c>
      <x:c r="G7" s="20" t="n">
        <x:f>COUNTIF('Task Distribution'!$E$6:$E$35,"In Progress")</x:f>
        <x:v>4</x:v>
      </x:c>
      <x:c r="H7" s="24" t="n">
        <x:f>IF($G$5=0,0,G7/$G$5)</x:f>
        <x:v>0.13333333333333333</x:v>
      </x:c>
    </x:row>
    <x:row r="8">
      <x:c r="A8" s="20" t="str">
        <x:v>Max</x:v>
      </x:c>
      <x:c r="B8" s="20" t="str">
        <x:v>Unity, coding</x:v>
      </x:c>
      <x:c r="C8" s="20" t="str">
        <x:v>Gameplay systems and HUD polish</x:v>
      </x:c>
      <x:c r="D8" s="20" t="str">
        <x:v>Weapons, projectiles, shop, upgrades, augments, HUD</x:v>
      </x:c>
      <x:c r="E8" s="32"/>
      <x:c r="F8" s="23" t="str">
        <x:v>Planned</x:v>
      </x:c>
      <x:c r="G8" s="21" t="n">
        <x:f>COUNTIF('Task Distribution'!$E$6:$E$35,"Planned")</x:f>
        <x:v>4</x:v>
      </x:c>
      <x:c r="H8" s="25" t="n">
        <x:f>IF($G$5=0,0,G8/$G$5)</x:f>
        <x:v>0.13333333333333333</x:v>
      </x:c>
    </x:row>
    <x:row r="9">
      <x:c r="A9" s="21" t="str">
        <x:v>Istvan</x:v>
      </x:c>
      <x:c r="B9" s="21" t="str">
        <x:v>Game audio</x:v>
      </x:c>
      <x:c r="C9" s="21" t="str">
        <x:v>Wwise coverage and spatialization</x:v>
      </x:c>
      <x:c r="D9" s="21" t="str">
        <x:v>Wwise project, footsteps, events, source audio</x:v>
      </x:c>
      <x:c r="E9" s="32"/>
      <x:c r="F9" s="32"/>
      <x:c r="G9" s="32"/>
      <x:c r="H9" s="32"/>
    </x:row>
    <x:row r="10">
      <x:c r="A10" s="32"/>
      <x:c r="B10" s="32"/>
      <x:c r="C10" s="32"/>
      <x:c r="D10" s="32"/>
      <x:c r="E10" s="32"/>
      <x:c r="F10" s="32"/>
      <x:c r="G10" s="32"/>
      <x:c r="H10" s="32"/>
    </x:row>
    <x:row r="11">
      <x:c r="A11" s="32"/>
      <x:c r="B11" s="32"/>
      <x:c r="C11" s="32"/>
      <x:c r="D11" s="32"/>
      <x:c r="E11" s="32"/>
      <x:c r="F11" s="32"/>
      <x:c r="G11" s="32"/>
      <x:c r="H11" s="32"/>
    </x:row>
    <x:row r="12">
      <x:c r="A12" s="9" t="str">
        <x:v>ASSIGNMENT 2 DELIVERABLES</x:v>
      </x:c>
      <x:c r="B12" s="9"/>
      <x:c r="C12" s="9"/>
      <x:c r="D12" s="9"/>
      <x:c r="E12" s="9"/>
      <x:c r="F12" s="9"/>
      <x:c r="G12" s="9"/>
      <x:c r="H12" s="9"/>
    </x:row>
    <x:row r="13">
      <x:c r="A13" s="14" t="str">
        <x:v>Deliverable</x:v>
      </x:c>
      <x:c r="B13" s="14" t="str">
        <x:v>Owner</x:v>
      </x:c>
      <x:c r="C13" s="14" t="str">
        <x:v>Status</x:v>
      </x:c>
      <x:c r="D13" s="14" t="str">
        <x:v>Evidence / file</x:v>
      </x:c>
      <x:c r="E13" s="14" t="str">
        <x:v>Submission channel</x:v>
      </x:c>
      <x:c r="F13" s="14" t="str">
        <x:v>Planned finish</x:v>
      </x:c>
      <x:c r="G13" s="14" t="str">
        <x:v>Risk</x:v>
      </x:c>
      <x:c r="H13" s="14" t="str">
        <x:v>Notes</x:v>
      </x:c>
    </x:row>
    <x:row r="14">
      <x:c r="A14" s="20" t="str">
        <x:v>Updated feature description</x:v>
      </x:c>
      <x:c r="B14" s="20" t="str">
        <x:v>Lukas</x:v>
      </x:c>
      <x:c r="C14" s="20" t="str">
        <x:v>Completed</x:v>
      </x:c>
      <x:c r="D14" s="20" t="str">
        <x:v>docs/index.html</x:v>
      </x:c>
      <x:c r="E14" s="20" t="str">
        <x:v>ePortfolio</x:v>
      </x:c>
      <x:c r="F14" s="26" t="n">
        <x:v>46194</x:v>
      </x:c>
      <x:c r="G14" s="20" t="str">
        <x:v>Low</x:v>
      </x:c>
      <x:c r="H14" s="20" t="str">
        <x:v>Playable round loop and ferry procedure</x:v>
      </x:c>
    </x:row>
    <x:row r="15">
      <x:c r="A15" s="20" t="str">
        <x:v>Updated system design</x:v>
      </x:c>
      <x:c r="B15" s="20" t="str">
        <x:v>Lukas</x:v>
      </x:c>
      <x:c r="C15" s="20" t="str">
        <x:v>Completed</x:v>
      </x:c>
      <x:c r="D15" s="20" t="str">
        <x:v>docs/index.html</x:v>
      </x:c>
      <x:c r="E15" s="20" t="str">
        <x:v>ePortfolio</x:v>
      </x:c>
      <x:c r="F15" s="26" t="n">
        <x:v>46194</x:v>
      </x:c>
      <x:c r="G15" s="20" t="str">
        <x:v>Low</x:v>
      </x:c>
      <x:c r="H15" s="20" t="str">
        <x:v>Scene, state, and interaction flow</x:v>
      </x:c>
    </x:row>
    <x:row r="16">
      <x:c r="A16" s="20" t="str">
        <x:v>Updated system infrastructure</x:v>
      </x:c>
      <x:c r="B16" s="20" t="str">
        <x:v>Lukas / Max</x:v>
      </x:c>
      <x:c r="C16" s="20" t="str">
        <x:v>Completed</x:v>
      </x:c>
      <x:c r="D16" s="20" t="str">
        <x:v>docs/index.html</x:v>
      </x:c>
      <x:c r="E16" s="20" t="str">
        <x:v>ePortfolio</x:v>
      </x:c>
      <x:c r="F16" s="26" t="n">
        <x:v>46194</x:v>
      </x:c>
      <x:c r="G16" s="20" t="str">
        <x:v>Low</x:v>
      </x:c>
      <x:c r="H16" s="20" t="str">
        <x:v>Implemented components and relationships</x:v>
      </x:c>
    </x:row>
    <x:row r="17">
      <x:c r="A17" s="21" t="str">
        <x:v>Time plan and task distribution</x:v>
      </x:c>
      <x:c r="B17" s="21" t="str">
        <x:v>Lukas</x:v>
      </x:c>
      <x:c r="C17" s="21" t="str">
        <x:v>Completed</x:v>
      </x:c>
      <x:c r="D17" s="21" t="str">
        <x:v>Rollfaehren_Fury_TimePlan_TaskDistribution.xlsx</x:v>
      </x:c>
      <x:c r="E17" s="21" t="str">
        <x:v>eCampus</x:v>
      </x:c>
      <x:c r="F17" s="27" t="n">
        <x:v>46194</x:v>
      </x:c>
      <x:c r="G17" s="21" t="str">
        <x:v>Low</x:v>
      </x:c>
      <x:c r="H17" s="21" t="str">
        <x:v>Editable workbook, provisional final dates</x:v>
      </x:c>
    </x:row>
    <x:row r="18">
      <x:c r="A18" s="32"/>
      <x:c r="B18" s="32"/>
      <x:c r="C18" s="32"/>
      <x:c r="D18" s="32"/>
      <x:c r="E18" s="32"/>
      <x:c r="F18" s="32"/>
      <x:c r="G18" s="32"/>
      <x:c r="H18" s="32"/>
    </x:row>
    <x:row r="19">
      <x:c r="A19" s="32"/>
      <x:c r="B19" s="32"/>
      <x:c r="C19" s="32"/>
      <x:c r="D19" s="32"/>
      <x:c r="E19" s="32"/>
      <x:c r="F19" s="32"/>
      <x:c r="G19" s="32"/>
      <x:c r="H19" s="32"/>
    </x:row>
    <x:row r="20">
      <x:c r="A20" s="9" t="str">
        <x:v>WORKFLOW AND SOURCES</x:v>
      </x:c>
      <x:c r="B20" s="9"/>
      <x:c r="C20" s="9"/>
      <x:c r="D20" s="9"/>
      <x:c r="E20" s="9"/>
      <x:c r="F20" s="9"/>
      <x:c r="G20" s="9"/>
      <x:c r="H20" s="9"/>
    </x:row>
    <x:row r="21" ht="42" customHeight="1">
      <x:c r="A21" s="31" t="str">
        <x:v>Actual dates are based on Git history in https://github.com/kornti-debug/Rollfaehren_Fury. Dates from 22–26 June 2026 are provisional planning assumptions and can be edited.</x:v>
      </x:c>
      <x:c r="B21" s="31"/>
      <x:c r="C21" s="31"/>
      <x:c r="D21" s="31"/>
      <x:c r="E21" s="31"/>
      <x:c r="F21" s="31"/>
      <x:c r="G21" s="31"/>
      <x:c r="H21" s="31"/>
    </x:row>
  </x:sheetData>
  <x:mergeCells>
    <x:mergeCell ref="A1:H1"/>
    <x:mergeCell ref="A2:H2"/>
    <x:mergeCell ref="A4:D4"/>
    <x:mergeCell ref="F4:H4"/>
    <x:mergeCell ref="A12:H12"/>
    <x:mergeCell ref="A20:H20"/>
    <x:mergeCell ref="A21:H21"/>
  </x:mergeCells>
  <x:conditionalFormatting sqref="C14:C17">
    <x:cfRule type="containsText" dxfId="0" priority="1" operator="containsText" text="Completed"/>
    <x:cfRule type="containsText" dxfId="1" priority="2" operator="containsText" text="In Progress"/>
    <x:cfRule type="containsText" dxfId="2" priority="3" operator="containsText" text="Plann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5" hidden="0" customWidth="1"/>
    <x:col min="3" max="3" width="14" hidden="0" customWidth="1"/>
    <x:col min="4" max="4" width="14" hidden="0" customWidth="1"/>
    <x:col min="5" max="5" width="15" hidden="0" customWidth="1"/>
    <x:col min="6" max="6" width="13" hidden="0" customWidth="1"/>
    <x:col min="7" max="7" width="13" hidden="0" customWidth="1"/>
    <x:col min="8" max="8" width="31" hidden="0" customWidth="1"/>
    <x:col min="9" max="9" width="24" hidden="0" customWidth="1"/>
    <x:col min="10" max="10" width="4.199999809265137" hidden="0" customWidth="1"/>
    <x:col min="11" max="11" width="4.199999809265137" hidden="0" customWidth="1"/>
    <x:col min="12" max="12" width="4.199999809265137" hidden="0" customWidth="1"/>
    <x:col min="13" max="13" width="4.199999809265137" hidden="0" customWidth="1"/>
    <x:col min="14" max="14" width="4.199999809265137" hidden="0" customWidth="1"/>
    <x:col min="15" max="15" width="4.199999809265137" hidden="0" customWidth="1"/>
    <x:col min="16" max="16" width="4.199999809265137" hidden="0" customWidth="1"/>
    <x:col min="17" max="17" width="4.199999809265137" hidden="0" customWidth="1"/>
    <x:col min="18" max="18" width="4.199999809265137" hidden="0" customWidth="1"/>
    <x:col min="19" max="19" width="4.199999809265137" hidden="0" customWidth="1"/>
    <x:col min="20" max="20" width="4.199999809265137" hidden="0" customWidth="1"/>
    <x:col min="21" max="21" width="4.199999809265137" hidden="0" customWidth="1"/>
    <x:col min="22" max="22" width="4.199999809265137" hidden="0" customWidth="1"/>
    <x:col min="23" max="23" width="4.199999809265137" hidden="0" customWidth="1"/>
    <x:col min="24" max="24" width="4.199999809265137" hidden="0" customWidth="1"/>
    <x:col min="25" max="25" width="4.199999809265137" hidden="0" customWidth="1"/>
    <x:col min="26" max="26" width="4.199999809265137" hidden="0" customWidth="1"/>
  </x:cols>
  <x:sheetData>
    <x:row r="1" ht="38" customHeight="1">
      <x:c r="A1" s="3" t="str">
        <x:v>ROLLFÄHREN FURY · TIME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5" t="str">
        <x:v>Green/blue tasks represent actual work. Tasks scheduled after 21 June are provisional and editable.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5">
      <x:c r="A5" s="14" t="str">
        <x:v>Phase</x:v>
      </x:c>
      <x:c r="B5" s="14" t="str">
        <x:v>Work package</x:v>
      </x:c>
      <x:c r="C5" s="14" t="str">
        <x:v>Primary</x:v>
      </x:c>
      <x:c r="D5" s="14" t="str">
        <x:v>Support</x:v>
      </x:c>
      <x:c r="E5" s="14" t="str">
        <x:v>Status</x:v>
      </x:c>
      <x:c r="F5" s="14" t="str">
        <x:v>Start</x:v>
      </x:c>
      <x:c r="G5" s="14" t="str">
        <x:v>End</x:v>
      </x:c>
      <x:c r="H5" s="14" t="str">
        <x:v>Deliverable</x:v>
      </x:c>
      <x:c r="I5" s="14" t="str">
        <x:v>Notes</x:v>
      </x:c>
      <x:c r="J5" s="36" t="n">
        <x:v>46183</x:v>
      </x:c>
      <x:c r="K5" s="36" t="n">
        <x:v>46184</x:v>
      </x:c>
      <x:c r="L5" s="36" t="n">
        <x:v>46185</x:v>
      </x:c>
      <x:c r="M5" s="36" t="n">
        <x:v>46186</x:v>
      </x:c>
      <x:c r="N5" s="36" t="n">
        <x:v>46187</x:v>
      </x:c>
      <x:c r="O5" s="36" t="n">
        <x:v>46188</x:v>
      </x:c>
      <x:c r="P5" s="36" t="n">
        <x:v>46189</x:v>
      </x:c>
      <x:c r="Q5" s="36" t="n">
        <x:v>46190</x:v>
      </x:c>
      <x:c r="R5" s="36" t="n">
        <x:v>46191</x:v>
      </x:c>
      <x:c r="S5" s="36" t="n">
        <x:v>46192</x:v>
      </x:c>
      <x:c r="T5" s="36" t="n">
        <x:v>46193</x:v>
      </x:c>
      <x:c r="U5" s="36" t="n">
        <x:v>46194</x:v>
      </x:c>
      <x:c r="V5" s="36" t="n">
        <x:v>46195</x:v>
      </x:c>
      <x:c r="W5" s="36" t="n">
        <x:v>46196</x:v>
      </x:c>
      <x:c r="X5" s="36" t="n">
        <x:v>46197</x:v>
      </x:c>
      <x:c r="Y5" s="36" t="n">
        <x:v>46198</x:v>
      </x:c>
      <x:c r="Z5" s="36" t="n">
        <x:v>46199</x:v>
      </x:c>
    </x:row>
    <x:row r="6">
      <x:c r="A6" s="20" t="str">
        <x:v>Foundation</x:v>
      </x:c>
      <x:c r="B6" s="20" t="str">
        <x:v>Repository and Unity URP setup</x:v>
      </x:c>
      <x:c r="C6" s="20" t="str">
        <x:v>Lukas</x:v>
      </x:c>
      <x:c r="D6" s="20" t="str">
        <x:v>Max</x:v>
      </x:c>
      <x:c r="E6" s="20" t="str">
        <x:v>Completed</x:v>
      </x:c>
      <x:c r="F6" s="37" t="n">
        <x:v>46183</x:v>
      </x:c>
      <x:c r="G6" s="37" t="n">
        <x:v>46188</x:v>
      </x:c>
      <x:c r="H6" s="20" t="str">
        <x:v>Clean shared Unity repository</x:v>
      </x:c>
      <x:c r="I6" s="20" t="str">
        <x:v>Git, LFS, URP, docs</x:v>
      </x:c>
      <x:c r="J6" s="48" t="str">
        <x:f>IF(AND(J$5&gt;=$F6,J$5&lt;=$G6),"■","")</x:f>
        <x:v>■</x:v>
      </x:c>
      <x:c r="K6" s="48" t="str">
        <x:f>IF(AND(K$5&gt;=$F6,K$5&lt;=$G6),"■","")</x:f>
        <x:v>■</x:v>
      </x:c>
      <x:c r="L6" s="48" t="str">
        <x:f>IF(AND(L$5&gt;=$F6,L$5&lt;=$G6),"■","")</x:f>
        <x:v>■</x:v>
      </x:c>
      <x:c r="M6" s="48" t="str">
        <x:f>IF(AND(M$5&gt;=$F6,M$5&lt;=$G6),"■","")</x:f>
        <x:v>■</x:v>
      </x:c>
      <x:c r="N6" s="48" t="str">
        <x:f>IF(AND(N$5&gt;=$F6,N$5&lt;=$G6),"■","")</x:f>
        <x:v>■</x:v>
      </x:c>
      <x:c r="O6" s="48" t="str">
        <x:f>IF(AND(O$5&gt;=$F6,O$5&lt;=$G6),"■","")</x:f>
        <x:v>■</x:v>
      </x:c>
      <x:c r="P6" s="48" t="str">
        <x:f>IF(AND(P$5&gt;=$F6,P$5&lt;=$G6),"■","")</x:f>
      </x:c>
      <x:c r="Q6" s="48" t="str">
        <x:f>IF(AND(Q$5&gt;=$F6,Q$5&lt;=$G6),"■","")</x:f>
      </x:c>
      <x:c r="R6" s="48" t="str">
        <x:f>IF(AND(R$5&gt;=$F6,R$5&lt;=$G6),"■","")</x:f>
      </x:c>
      <x:c r="S6" s="48" t="str">
        <x:f>IF(AND(S$5&gt;=$F6,S$5&lt;=$G6),"■","")</x:f>
      </x:c>
      <x:c r="T6" s="48" t="str">
        <x:f>IF(AND(T$5&gt;=$F6,T$5&lt;=$G6),"■","")</x:f>
      </x:c>
      <x:c r="U6" s="48" t="str">
        <x:f>IF(AND(U$5&gt;=$F6,U$5&lt;=$G6),"■","")</x:f>
      </x:c>
      <x:c r="V6" s="48" t="str">
        <x:f>IF(AND(V$5&gt;=$F6,V$5&lt;=$G6),"■","")</x:f>
      </x:c>
      <x:c r="W6" s="48" t="str">
        <x:f>IF(AND(W$5&gt;=$F6,W$5&lt;=$G6),"■","")</x:f>
      </x:c>
      <x:c r="X6" s="48" t="str">
        <x:f>IF(AND(X$5&gt;=$F6,X$5&lt;=$G6),"■","")</x:f>
      </x:c>
      <x:c r="Y6" s="48" t="str">
        <x:f>IF(AND(Y$5&gt;=$F6,Y$5&lt;=$G6),"■","")</x:f>
      </x:c>
      <x:c r="Z6" s="49" t="str">
        <x:f>IF(AND(Z$5&gt;=$F6,Z$5&lt;=$G6),"■","")</x:f>
      </x:c>
    </x:row>
    <x:row r="7">
      <x:c r="A7" s="20" t="str">
        <x:v>Foundation</x:v>
      </x:c>
      <x:c r="B7" s="20" t="str">
        <x:v>Wwise integration baseline</x:v>
      </x:c>
      <x:c r="C7" s="20" t="str">
        <x:v>Lukas</x:v>
      </x:c>
      <x:c r="D7" s="20" t="str">
        <x:v>Istvan</x:v>
      </x:c>
      <x:c r="E7" s="20" t="str">
        <x:v>Completed</x:v>
      </x:c>
      <x:c r="F7" s="37" t="n">
        <x:v>46188</x:v>
      </x:c>
      <x:c r="G7" s="37" t="n">
        <x:v>46188</x:v>
      </x:c>
      <x:c r="H7" s="20" t="str">
        <x:v>Wwise Unity integration</x:v>
      </x:c>
      <x:c r="I7" s="20" t="str">
        <x:v>Generated banks remain local</x:v>
      </x:c>
      <x:c r="J7" s="48" t="str">
        <x:f>IF(AND(J$5&gt;=$F7,J$5&lt;=$G7),"■","")</x:f>
      </x:c>
      <x:c r="K7" s="48" t="str">
        <x:f>IF(AND(K$5&gt;=$F7,K$5&lt;=$G7),"■","")</x:f>
      </x:c>
      <x:c r="L7" s="48" t="str">
        <x:f>IF(AND(L$5&gt;=$F7,L$5&lt;=$G7),"■","")</x:f>
      </x:c>
      <x:c r="M7" s="48" t="str">
        <x:f>IF(AND(M$5&gt;=$F7,M$5&lt;=$G7),"■","")</x:f>
      </x:c>
      <x:c r="N7" s="48" t="str">
        <x:f>IF(AND(N$5&gt;=$F7,N$5&lt;=$G7),"■","")</x:f>
      </x:c>
      <x:c r="O7" s="48" t="str">
        <x:f>IF(AND(O$5&gt;=$F7,O$5&lt;=$G7),"■","")</x:f>
        <x:v>■</x:v>
      </x:c>
      <x:c r="P7" s="48" t="str">
        <x:f>IF(AND(P$5&gt;=$F7,P$5&lt;=$G7),"■","")</x:f>
      </x:c>
      <x:c r="Q7" s="48" t="str">
        <x:f>IF(AND(Q$5&gt;=$F7,Q$5&lt;=$G7),"■","")</x:f>
      </x:c>
      <x:c r="R7" s="48" t="str">
        <x:f>IF(AND(R$5&gt;=$F7,R$5&lt;=$G7),"■","")</x:f>
      </x:c>
      <x:c r="S7" s="48" t="str">
        <x:f>IF(AND(S$5&gt;=$F7,S$5&lt;=$G7),"■","")</x:f>
      </x:c>
      <x:c r="T7" s="48" t="str">
        <x:f>IF(AND(T$5&gt;=$F7,T$5&lt;=$G7),"■","")</x:f>
      </x:c>
      <x:c r="U7" s="48" t="str">
        <x:f>IF(AND(U$5&gt;=$F7,U$5&lt;=$G7),"■","")</x:f>
      </x:c>
      <x:c r="V7" s="48" t="str">
        <x:f>IF(AND(V$5&gt;=$F7,V$5&lt;=$G7),"■","")</x:f>
      </x:c>
      <x:c r="W7" s="48" t="str">
        <x:f>IF(AND(W$5&gt;=$F7,W$5&lt;=$G7),"■","")</x:f>
      </x:c>
      <x:c r="X7" s="48" t="str">
        <x:f>IF(AND(X$5&gt;=$F7,X$5&lt;=$G7),"■","")</x:f>
      </x:c>
      <x:c r="Y7" s="48" t="str">
        <x:f>IF(AND(Y$5&gt;=$F7,Y$5&lt;=$G7),"■","")</x:f>
      </x:c>
      <x:c r="Z7" s="49" t="str">
        <x:f>IF(AND(Z$5&gt;=$F7,Z$5&lt;=$G7),"■","")</x:f>
      </x:c>
    </x:row>
    <x:row r="8">
      <x:c r="A8" s="20" t="str">
        <x:v>Gameplay Systems</x:v>
      </x:c>
      <x:c r="B8" s="20" t="str">
        <x:v>First playable FPS defense loop</x:v>
      </x:c>
      <x:c r="C8" s="20" t="str">
        <x:v>Lukas</x:v>
      </x:c>
      <x:c r="D8" s="20" t="str">
        <x:v>Max</x:v>
      </x:c>
      <x:c r="E8" s="20" t="str">
        <x:v>Completed</x:v>
      </x:c>
      <x:c r="F8" s="37" t="n">
        <x:v>46188</x:v>
      </x:c>
      <x:c r="G8" s="37" t="n">
        <x:v>46188</x:v>
      </x:c>
      <x:c r="H8" s="20" t="str">
        <x:v>Movement, shooting, enemies, ferry health</x:v>
      </x:c>
      <x:c r="I8" s="20" t="str">
        <x:v>Prototype-first implementation</x:v>
      </x:c>
      <x:c r="J8" s="48" t="str">
        <x:f>IF(AND(J$5&gt;=$F8,J$5&lt;=$G8),"■","")</x:f>
      </x:c>
      <x:c r="K8" s="48" t="str">
        <x:f>IF(AND(K$5&gt;=$F8,K$5&lt;=$G8),"■","")</x:f>
      </x:c>
      <x:c r="L8" s="48" t="str">
        <x:f>IF(AND(L$5&gt;=$F8,L$5&lt;=$G8),"■","")</x:f>
      </x:c>
      <x:c r="M8" s="48" t="str">
        <x:f>IF(AND(M$5&gt;=$F8,M$5&lt;=$G8),"■","")</x:f>
      </x:c>
      <x:c r="N8" s="48" t="str">
        <x:f>IF(AND(N$5&gt;=$F8,N$5&lt;=$G8),"■","")</x:f>
      </x:c>
      <x:c r="O8" s="48" t="str">
        <x:f>IF(AND(O$5&gt;=$F8,O$5&lt;=$G8),"■","")</x:f>
        <x:v>■</x:v>
      </x:c>
      <x:c r="P8" s="48" t="str">
        <x:f>IF(AND(P$5&gt;=$F8,P$5&lt;=$G8),"■","")</x:f>
      </x:c>
      <x:c r="Q8" s="48" t="str">
        <x:f>IF(AND(Q$5&gt;=$F8,Q$5&lt;=$G8),"■","")</x:f>
      </x:c>
      <x:c r="R8" s="48" t="str">
        <x:f>IF(AND(R$5&gt;=$F8,R$5&lt;=$G8),"■","")</x:f>
      </x:c>
      <x:c r="S8" s="48" t="str">
        <x:f>IF(AND(S$5&gt;=$F8,S$5&lt;=$G8),"■","")</x:f>
      </x:c>
      <x:c r="T8" s="48" t="str">
        <x:f>IF(AND(T$5&gt;=$F8,T$5&lt;=$G8),"■","")</x:f>
      </x:c>
      <x:c r="U8" s="48" t="str">
        <x:f>IF(AND(U$5&gt;=$F8,U$5&lt;=$G8),"■","")</x:f>
      </x:c>
      <x:c r="V8" s="48" t="str">
        <x:f>IF(AND(V$5&gt;=$F8,V$5&lt;=$G8),"■","")</x:f>
      </x:c>
      <x:c r="W8" s="48" t="str">
        <x:f>IF(AND(W$5&gt;=$F8,W$5&lt;=$G8),"■","")</x:f>
      </x:c>
      <x:c r="X8" s="48" t="str">
        <x:f>IF(AND(X$5&gt;=$F8,X$5&lt;=$G8),"■","")</x:f>
      </x:c>
      <x:c r="Y8" s="48" t="str">
        <x:f>IF(AND(Y$5&gt;=$F8,Y$5&lt;=$G8),"■","")</x:f>
      </x:c>
      <x:c r="Z8" s="49" t="str">
        <x:f>IF(AND(Z$5&gt;=$F8,Z$5&lt;=$G8),"■","")</x:f>
      </x:c>
    </x:row>
    <x:row r="9">
      <x:c r="A9" s="20" t="str">
        <x:v>3D and Animation</x:v>
      </x:c>
      <x:c r="B9" s="20" t="str">
        <x:v>Ferry and Fraunz modelling</x:v>
      </x:c>
      <x:c r="C9" s="20" t="str">
        <x:v>Philip</x:v>
      </x:c>
      <x:c r="D9" s="20" t="str">
        <x:v>Lukas</x:v>
      </x:c>
      <x:c r="E9" s="20" t="str">
        <x:v>In Progress</x:v>
      </x:c>
      <x:c r="F9" s="37" t="n">
        <x:v>46188</x:v>
      </x:c>
      <x:c r="G9" s="37" t="n">
        <x:v>46197</x:v>
      </x:c>
      <x:c r="H9" s="20" t="str">
        <x:v>Textured ferry and humanoid character</x:v>
      </x:c>
      <x:c r="I9" s="20" t="str">
        <x:v>Action animation remains</x:v>
      </x:c>
      <x:c r="J9" s="48" t="str">
        <x:f>IF(AND(J$5&gt;=$F9,J$5&lt;=$G9),"■","")</x:f>
      </x:c>
      <x:c r="K9" s="48" t="str">
        <x:f>IF(AND(K$5&gt;=$F9,K$5&lt;=$G9),"■","")</x:f>
      </x:c>
      <x:c r="L9" s="48" t="str">
        <x:f>IF(AND(L$5&gt;=$F9,L$5&lt;=$G9),"■","")</x:f>
      </x:c>
      <x:c r="M9" s="48" t="str">
        <x:f>IF(AND(M$5&gt;=$F9,M$5&lt;=$G9),"■","")</x:f>
      </x:c>
      <x:c r="N9" s="48" t="str">
        <x:f>IF(AND(N$5&gt;=$F9,N$5&lt;=$G9),"■","")</x:f>
      </x:c>
      <x:c r="O9" s="48" t="str">
        <x:f>IF(AND(O$5&gt;=$F9,O$5&lt;=$G9),"■","")</x:f>
        <x:v>■</x:v>
      </x:c>
      <x:c r="P9" s="48" t="str">
        <x:f>IF(AND(P$5&gt;=$F9,P$5&lt;=$G9),"■","")</x:f>
        <x:v>■</x:v>
      </x:c>
      <x:c r="Q9" s="48" t="str">
        <x:f>IF(AND(Q$5&gt;=$F9,Q$5&lt;=$G9),"■","")</x:f>
        <x:v>■</x:v>
      </x:c>
      <x:c r="R9" s="48" t="str">
        <x:f>IF(AND(R$5&gt;=$F9,R$5&lt;=$G9),"■","")</x:f>
        <x:v>■</x:v>
      </x:c>
      <x:c r="S9" s="48" t="str">
        <x:f>IF(AND(S$5&gt;=$F9,S$5&lt;=$G9),"■","")</x:f>
        <x:v>■</x:v>
      </x:c>
      <x:c r="T9" s="48" t="str">
        <x:f>IF(AND(T$5&gt;=$F9,T$5&lt;=$G9),"■","")</x:f>
        <x:v>■</x:v>
      </x:c>
      <x:c r="U9" s="48" t="str">
        <x:f>IF(AND(U$5&gt;=$F9,U$5&lt;=$G9),"■","")</x:f>
        <x:v>■</x:v>
      </x:c>
      <x:c r="V9" s="48" t="str">
        <x:f>IF(AND(V$5&gt;=$F9,V$5&lt;=$G9),"■","")</x:f>
        <x:v>■</x:v>
      </x:c>
      <x:c r="W9" s="48" t="str">
        <x:f>IF(AND(W$5&gt;=$F9,W$5&lt;=$G9),"■","")</x:f>
        <x:v>■</x:v>
      </x:c>
      <x:c r="X9" s="48" t="str">
        <x:f>IF(AND(X$5&gt;=$F9,X$5&lt;=$G9),"■","")</x:f>
        <x:v>■</x:v>
      </x:c>
      <x:c r="Y9" s="48" t="str">
        <x:f>IF(AND(Y$5&gt;=$F9,Y$5&lt;=$G9),"■","")</x:f>
      </x:c>
      <x:c r="Z9" s="49" t="str">
        <x:f>IF(AND(Z$5&gt;=$F9,Z$5&lt;=$G9),"■","")</x:f>
      </x:c>
    </x:row>
    <x:row r="10">
      <x:c r="A10" s="20" t="str">
        <x:v>Gameplay Systems</x:v>
      </x:c>
      <x:c r="B10" s="20" t="str">
        <x:v>Data-driven weapons and HUD</x:v>
      </x:c>
      <x:c r="C10" s="20" t="str">
        <x:v>Max</x:v>
      </x:c>
      <x:c r="D10" s="20" t="str">
        <x:v>Lukas</x:v>
      </x:c>
      <x:c r="E10" s="20" t="str">
        <x:v>Completed</x:v>
      </x:c>
      <x:c r="F10" s="37" t="n">
        <x:v>46189</x:v>
      </x:c>
      <x:c r="G10" s="37" t="n">
        <x:v>46190</x:v>
      </x:c>
      <x:c r="H10" s="20" t="str">
        <x:v>Four weapons, switching, projectiles, HUD</x:v>
      </x:c>
      <x:c r="I10" s="20" t="str">
        <x:v>Inspector-tunable definitions</x:v>
      </x:c>
      <x:c r="J10" s="48" t="str">
        <x:f>IF(AND(J$5&gt;=$F10,J$5&lt;=$G10),"■","")</x:f>
      </x:c>
      <x:c r="K10" s="48" t="str">
        <x:f>IF(AND(K$5&gt;=$F10,K$5&lt;=$G10),"■","")</x:f>
      </x:c>
      <x:c r="L10" s="48" t="str">
        <x:f>IF(AND(L$5&gt;=$F10,L$5&lt;=$G10),"■","")</x:f>
      </x:c>
      <x:c r="M10" s="48" t="str">
        <x:f>IF(AND(M$5&gt;=$F10,M$5&lt;=$G10),"■","")</x:f>
      </x:c>
      <x:c r="N10" s="48" t="str">
        <x:f>IF(AND(N$5&gt;=$F10,N$5&lt;=$G10),"■","")</x:f>
      </x:c>
      <x:c r="O10" s="48" t="str">
        <x:f>IF(AND(O$5&gt;=$F10,O$5&lt;=$G10),"■","")</x:f>
      </x:c>
      <x:c r="P10" s="48" t="str">
        <x:f>IF(AND(P$5&gt;=$F10,P$5&lt;=$G10),"■","")</x:f>
        <x:v>■</x:v>
      </x:c>
      <x:c r="Q10" s="48" t="str">
        <x:f>IF(AND(Q$5&gt;=$F10,Q$5&lt;=$G10),"■","")</x:f>
        <x:v>■</x:v>
      </x:c>
      <x:c r="R10" s="48" t="str">
        <x:f>IF(AND(R$5&gt;=$F10,R$5&lt;=$G10),"■","")</x:f>
      </x:c>
      <x:c r="S10" s="48" t="str">
        <x:f>IF(AND(S$5&gt;=$F10,S$5&lt;=$G10),"■","")</x:f>
      </x:c>
      <x:c r="T10" s="48" t="str">
        <x:f>IF(AND(T$5&gt;=$F10,T$5&lt;=$G10),"■","")</x:f>
      </x:c>
      <x:c r="U10" s="48" t="str">
        <x:f>IF(AND(U$5&gt;=$F10,U$5&lt;=$G10),"■","")</x:f>
      </x:c>
      <x:c r="V10" s="48" t="str">
        <x:f>IF(AND(V$5&gt;=$F10,V$5&lt;=$G10),"■","")</x:f>
      </x:c>
      <x:c r="W10" s="48" t="str">
        <x:f>IF(AND(W$5&gt;=$F10,W$5&lt;=$G10),"■","")</x:f>
      </x:c>
      <x:c r="X10" s="48" t="str">
        <x:f>IF(AND(X$5&gt;=$F10,X$5&lt;=$G10),"■","")</x:f>
      </x:c>
      <x:c r="Y10" s="48" t="str">
        <x:f>IF(AND(Y$5&gt;=$F10,Y$5&lt;=$G10),"■","")</x:f>
      </x:c>
      <x:c r="Z10" s="49" t="str">
        <x:f>IF(AND(Z$5&gt;=$F10,Z$5&lt;=$G10),"■","")</x:f>
      </x:c>
    </x:row>
    <x:row r="11">
      <x:c r="A11" s="20" t="str">
        <x:v>Integration</x:v>
      </x:c>
      <x:c r="B11" s="20" t="str">
        <x:v>Terrain, river, skybox, and environment</x:v>
      </x:c>
      <x:c r="C11" s="20" t="str">
        <x:v>Lukas</x:v>
      </x:c>
      <x:c r="D11" s="20" t="str">
        <x:v>Philip</x:v>
      </x:c>
      <x:c r="E11" s="20" t="str">
        <x:v>Completed</x:v>
      </x:c>
      <x:c r="F11" s="37" t="n">
        <x:v>46189</x:v>
      </x:c>
      <x:c r="G11" s="37" t="n">
        <x:v>46194</x:v>
      </x:c>
      <x:c r="H11" s="20" t="str">
        <x:v>Playable river environment</x:v>
      </x:c>
      <x:c r="I11" s="20" t="str">
        <x:v>Low-poly asset integration</x:v>
      </x:c>
      <x:c r="J11" s="48" t="str">
        <x:f>IF(AND(J$5&gt;=$F11,J$5&lt;=$G11),"■","")</x:f>
      </x:c>
      <x:c r="K11" s="48" t="str">
        <x:f>IF(AND(K$5&gt;=$F11,K$5&lt;=$G11),"■","")</x:f>
      </x:c>
      <x:c r="L11" s="48" t="str">
        <x:f>IF(AND(L$5&gt;=$F11,L$5&lt;=$G11),"■","")</x:f>
      </x:c>
      <x:c r="M11" s="48" t="str">
        <x:f>IF(AND(M$5&gt;=$F11,M$5&lt;=$G11),"■","")</x:f>
      </x:c>
      <x:c r="N11" s="48" t="str">
        <x:f>IF(AND(N$5&gt;=$F11,N$5&lt;=$G11),"■","")</x:f>
      </x:c>
      <x:c r="O11" s="48" t="str">
        <x:f>IF(AND(O$5&gt;=$F11,O$5&lt;=$G11),"■","")</x:f>
      </x:c>
      <x:c r="P11" s="48" t="str">
        <x:f>IF(AND(P$5&gt;=$F11,P$5&lt;=$G11),"■","")</x:f>
        <x:v>■</x:v>
      </x:c>
      <x:c r="Q11" s="48" t="str">
        <x:f>IF(AND(Q$5&gt;=$F11,Q$5&lt;=$G11),"■","")</x:f>
        <x:v>■</x:v>
      </x:c>
      <x:c r="R11" s="48" t="str">
        <x:f>IF(AND(R$5&gt;=$F11,R$5&lt;=$G11),"■","")</x:f>
        <x:v>■</x:v>
      </x:c>
      <x:c r="S11" s="48" t="str">
        <x:f>IF(AND(S$5&gt;=$F11,S$5&lt;=$G11),"■","")</x:f>
        <x:v>■</x:v>
      </x:c>
      <x:c r="T11" s="48" t="str">
        <x:f>IF(AND(T$5&gt;=$F11,T$5&lt;=$G11),"■","")</x:f>
        <x:v>■</x:v>
      </x:c>
      <x:c r="U11" s="48" t="str">
        <x:f>IF(AND(U$5&gt;=$F11,U$5&lt;=$G11),"■","")</x:f>
        <x:v>■</x:v>
      </x:c>
      <x:c r="V11" s="48" t="str">
        <x:f>IF(AND(V$5&gt;=$F11,V$5&lt;=$G11),"■","")</x:f>
      </x:c>
      <x:c r="W11" s="48" t="str">
        <x:f>IF(AND(W$5&gt;=$F11,W$5&lt;=$G11),"■","")</x:f>
      </x:c>
      <x:c r="X11" s="48" t="str">
        <x:f>IF(AND(X$5&gt;=$F11,X$5&lt;=$G11),"■","")</x:f>
      </x:c>
      <x:c r="Y11" s="48" t="str">
        <x:f>IF(AND(Y$5&gt;=$F11,Y$5&lt;=$G11),"■","")</x:f>
      </x:c>
      <x:c r="Z11" s="49" t="str">
        <x:f>IF(AND(Z$5&gt;=$F11,Z$5&lt;=$G11),"■","")</x:f>
      </x:c>
    </x:row>
    <x:row r="12">
      <x:c r="A12" s="20" t="str">
        <x:v>3D and Animation</x:v>
      </x:c>
      <x:c r="B12" s="20" t="str">
        <x:v>Fish and pigeon characters</x:v>
      </x:c>
      <x:c r="C12" s="20" t="str">
        <x:v>Philip</x:v>
      </x:c>
      <x:c r="D12" s="20" t="str">
        <x:v>Lukas</x:v>
      </x:c>
      <x:c r="E12" s="20" t="str">
        <x:v>Completed</x:v>
      </x:c>
      <x:c r="F12" s="37" t="n">
        <x:v>46189</x:v>
      </x:c>
      <x:c r="G12" s="37" t="n">
        <x:v>46191</x:v>
      </x:c>
      <x:c r="H12" s="20" t="str">
        <x:v>Rigged, textured, animated enemies</x:v>
      </x:c>
      <x:c r="I12" s="20" t="str">
        <x:v>Gameplay prefabs integrated</x:v>
      </x:c>
      <x:c r="J12" s="48" t="str">
        <x:f>IF(AND(J$5&gt;=$F12,J$5&lt;=$G12),"■","")</x:f>
      </x:c>
      <x:c r="K12" s="48" t="str">
        <x:f>IF(AND(K$5&gt;=$F12,K$5&lt;=$G12),"■","")</x:f>
      </x:c>
      <x:c r="L12" s="48" t="str">
        <x:f>IF(AND(L$5&gt;=$F12,L$5&lt;=$G12),"■","")</x:f>
      </x:c>
      <x:c r="M12" s="48" t="str">
        <x:f>IF(AND(M$5&gt;=$F12,M$5&lt;=$G12),"■","")</x:f>
      </x:c>
      <x:c r="N12" s="48" t="str">
        <x:f>IF(AND(N$5&gt;=$F12,N$5&lt;=$G12),"■","")</x:f>
      </x:c>
      <x:c r="O12" s="48" t="str">
        <x:f>IF(AND(O$5&gt;=$F12,O$5&lt;=$G12),"■","")</x:f>
      </x:c>
      <x:c r="P12" s="48" t="str">
        <x:f>IF(AND(P$5&gt;=$F12,P$5&lt;=$G12),"■","")</x:f>
        <x:v>■</x:v>
      </x:c>
      <x:c r="Q12" s="48" t="str">
        <x:f>IF(AND(Q$5&gt;=$F12,Q$5&lt;=$G12),"■","")</x:f>
        <x:v>■</x:v>
      </x:c>
      <x:c r="R12" s="48" t="str">
        <x:f>IF(AND(R$5&gt;=$F12,R$5&lt;=$G12),"■","")</x:f>
        <x:v>■</x:v>
      </x:c>
      <x:c r="S12" s="48" t="str">
        <x:f>IF(AND(S$5&gt;=$F12,S$5&lt;=$G12),"■","")</x:f>
      </x:c>
      <x:c r="T12" s="48" t="str">
        <x:f>IF(AND(T$5&gt;=$F12,T$5&lt;=$G12),"■","")</x:f>
      </x:c>
      <x:c r="U12" s="48" t="str">
        <x:f>IF(AND(U$5&gt;=$F12,U$5&lt;=$G12),"■","")</x:f>
      </x:c>
      <x:c r="V12" s="48" t="str">
        <x:f>IF(AND(V$5&gt;=$F12,V$5&lt;=$G12),"■","")</x:f>
      </x:c>
      <x:c r="W12" s="48" t="str">
        <x:f>IF(AND(W$5&gt;=$F12,W$5&lt;=$G12),"■","")</x:f>
      </x:c>
      <x:c r="X12" s="48" t="str">
        <x:f>IF(AND(X$5&gt;=$F12,X$5&lt;=$G12),"■","")</x:f>
      </x:c>
      <x:c r="Y12" s="48" t="str">
        <x:f>IF(AND(Y$5&gt;=$F12,Y$5&lt;=$G12),"■","")</x:f>
      </x:c>
      <x:c r="Z12" s="49" t="str">
        <x:f>IF(AND(Z$5&gt;=$F12,Z$5&lt;=$G12),"■","")</x:f>
      </x:c>
    </x:row>
    <x:row r="13">
      <x:c r="A13" s="20" t="str">
        <x:v>Gameplay Systems</x:v>
      </x:c>
      <x:c r="B13" s="20" t="str">
        <x:v>Shop, upgrades, and augment draft</x:v>
      </x:c>
      <x:c r="C13" s="20" t="str">
        <x:v>Max</x:v>
      </x:c>
      <x:c r="D13" s="20" t="str">
        <x:v>Lukas</x:v>
      </x:c>
      <x:c r="E13" s="20" t="str">
        <x:v>Completed</x:v>
      </x:c>
      <x:c r="F13" s="37" t="n">
        <x:v>46190</x:v>
      </x:c>
      <x:c r="G13" s="37" t="n">
        <x:v>46190</x:v>
      </x:c>
      <x:c r="H13" s="20" t="str">
        <x:v>Data-driven progression systems</x:v>
      </x:c>
      <x:c r="I13" s="20" t="str">
        <x:v>Includes purchase caps</x:v>
      </x:c>
      <x:c r="J13" s="48" t="str">
        <x:f>IF(AND(J$5&gt;=$F13,J$5&lt;=$G13),"■","")</x:f>
      </x:c>
      <x:c r="K13" s="48" t="str">
        <x:f>IF(AND(K$5&gt;=$F13,K$5&lt;=$G13),"■","")</x:f>
      </x:c>
      <x:c r="L13" s="48" t="str">
        <x:f>IF(AND(L$5&gt;=$F13,L$5&lt;=$G13),"■","")</x:f>
      </x:c>
      <x:c r="M13" s="48" t="str">
        <x:f>IF(AND(M$5&gt;=$F13,M$5&lt;=$G13),"■","")</x:f>
      </x:c>
      <x:c r="N13" s="48" t="str">
        <x:f>IF(AND(N$5&gt;=$F13,N$5&lt;=$G13),"■","")</x:f>
      </x:c>
      <x:c r="O13" s="48" t="str">
        <x:f>IF(AND(O$5&gt;=$F13,O$5&lt;=$G13),"■","")</x:f>
      </x:c>
      <x:c r="P13" s="48" t="str">
        <x:f>IF(AND(P$5&gt;=$F13,P$5&lt;=$G13),"■","")</x:f>
      </x:c>
      <x:c r="Q13" s="48" t="str">
        <x:f>IF(AND(Q$5&gt;=$F13,Q$5&lt;=$G13),"■","")</x:f>
        <x:v>■</x:v>
      </x:c>
      <x:c r="R13" s="48" t="str">
        <x:f>IF(AND(R$5&gt;=$F13,R$5&lt;=$G13),"■","")</x:f>
      </x:c>
      <x:c r="S13" s="48" t="str">
        <x:f>IF(AND(S$5&gt;=$F13,S$5&lt;=$G13),"■","")</x:f>
      </x:c>
      <x:c r="T13" s="48" t="str">
        <x:f>IF(AND(T$5&gt;=$F13,T$5&lt;=$G13),"■","")</x:f>
      </x:c>
      <x:c r="U13" s="48" t="str">
        <x:f>IF(AND(U$5&gt;=$F13,U$5&lt;=$G13),"■","")</x:f>
      </x:c>
      <x:c r="V13" s="48" t="str">
        <x:f>IF(AND(V$5&gt;=$F13,V$5&lt;=$G13),"■","")</x:f>
      </x:c>
      <x:c r="W13" s="48" t="str">
        <x:f>IF(AND(W$5&gt;=$F13,W$5&lt;=$G13),"■","")</x:f>
      </x:c>
      <x:c r="X13" s="48" t="str">
        <x:f>IF(AND(X$5&gt;=$F13,X$5&lt;=$G13),"■","")</x:f>
      </x:c>
      <x:c r="Y13" s="48" t="str">
        <x:f>IF(AND(Y$5&gt;=$F13,Y$5&lt;=$G13),"■","")</x:f>
      </x:c>
      <x:c r="Z13" s="49" t="str">
        <x:f>IF(AND(Z$5&gt;=$F13,Z$5&lt;=$G13),"■","")</x:f>
      </x:c>
    </x:row>
    <x:row r="14">
      <x:c r="A14" s="20" t="str">
        <x:v>Audio</x:v>
      </x:c>
      <x:c r="B14" s="20" t="str">
        <x:v>Wwise footsteps and authored source audio</x:v>
      </x:c>
      <x:c r="C14" s="20" t="str">
        <x:v>Istvan</x:v>
      </x:c>
      <x:c r="D14" s="20" t="str">
        <x:v>Lukas</x:v>
      </x:c>
      <x:c r="E14" s="20" t="str">
        <x:v>Completed</x:v>
      </x:c>
      <x:c r="F14" s="37" t="n">
        <x:v>46190</x:v>
      </x:c>
      <x:c r="G14" s="37" t="n">
        <x:v>46191</x:v>
      </x:c>
      <x:c r="H14" s="20" t="str">
        <x:v>Footstep event and MainSoundBank</x:v>
      </x:c>
      <x:c r="I14" s="20" t="str">
        <x:v>Local bank generation</x:v>
      </x:c>
      <x:c r="J14" s="48" t="str">
        <x:f>IF(AND(J$5&gt;=$F14,J$5&lt;=$G14),"■","")</x:f>
      </x:c>
      <x:c r="K14" s="48" t="str">
        <x:f>IF(AND(K$5&gt;=$F14,K$5&lt;=$G14),"■","")</x:f>
      </x:c>
      <x:c r="L14" s="48" t="str">
        <x:f>IF(AND(L$5&gt;=$F14,L$5&lt;=$G14),"■","")</x:f>
      </x:c>
      <x:c r="M14" s="48" t="str">
        <x:f>IF(AND(M$5&gt;=$F14,M$5&lt;=$G14),"■","")</x:f>
      </x:c>
      <x:c r="N14" s="48" t="str">
        <x:f>IF(AND(N$5&gt;=$F14,N$5&lt;=$G14),"■","")</x:f>
      </x:c>
      <x:c r="O14" s="48" t="str">
        <x:f>IF(AND(O$5&gt;=$F14,O$5&lt;=$G14),"■","")</x:f>
      </x:c>
      <x:c r="P14" s="48" t="str">
        <x:f>IF(AND(P$5&gt;=$F14,P$5&lt;=$G14),"■","")</x:f>
      </x:c>
      <x:c r="Q14" s="48" t="str">
        <x:f>IF(AND(Q$5&gt;=$F14,Q$5&lt;=$G14),"■","")</x:f>
        <x:v>■</x:v>
      </x:c>
      <x:c r="R14" s="48" t="str">
        <x:f>IF(AND(R$5&gt;=$F14,R$5&lt;=$G14),"■","")</x:f>
        <x:v>■</x:v>
      </x:c>
      <x:c r="S14" s="48" t="str">
        <x:f>IF(AND(S$5&gt;=$F14,S$5&lt;=$G14),"■","")</x:f>
      </x:c>
      <x:c r="T14" s="48" t="str">
        <x:f>IF(AND(T$5&gt;=$F14,T$5&lt;=$G14),"■","")</x:f>
      </x:c>
      <x:c r="U14" s="48" t="str">
        <x:f>IF(AND(U$5&gt;=$F14,U$5&lt;=$G14),"■","")</x:f>
      </x:c>
      <x:c r="V14" s="48" t="str">
        <x:f>IF(AND(V$5&gt;=$F14,V$5&lt;=$G14),"■","")</x:f>
      </x:c>
      <x:c r="W14" s="48" t="str">
        <x:f>IF(AND(W$5&gt;=$F14,W$5&lt;=$G14),"■","")</x:f>
      </x:c>
      <x:c r="X14" s="48" t="str">
        <x:f>IF(AND(X$5&gt;=$F14,X$5&lt;=$G14),"■","")</x:f>
      </x:c>
      <x:c r="Y14" s="48" t="str">
        <x:f>IF(AND(Y$5&gt;=$F14,Y$5&lt;=$G14),"■","")</x:f>
      </x:c>
      <x:c r="Z14" s="49" t="str">
        <x:f>IF(AND(Z$5&gt;=$F14,Z$5&lt;=$G14),"■","")</x:f>
      </x:c>
    </x:row>
    <x:row r="15">
      <x:c r="A15" s="20" t="str">
        <x:v>Gameplay Systems</x:v>
      </x:c>
      <x:c r="B15" s="20" t="str">
        <x:v>Physical ferry and round flow</x:v>
      </x:c>
      <x:c r="C15" s="20" t="str">
        <x:v>Lukas</x:v>
      </x:c>
      <x:c r="D15" s="20" t="str">
        <x:v>Max</x:v>
      </x:c>
      <x:c r="E15" s="20" t="str">
        <x:v>Completed</x:v>
      </x:c>
      <x:c r="F15" s="37" t="n">
        <x:v>46191</x:v>
      </x:c>
      <x:c r="G15" s="37" t="n">
        <x:v>46191</x:v>
      </x:c>
      <x:c r="H15" s="20" t="str">
        <x:v>Manual start and alternating crossings</x:v>
      </x:c>
      <x:c r="I15" s="20" t="str">
        <x:v>Bézier movement procedure</x:v>
      </x:c>
      <x:c r="J15" s="48" t="str">
        <x:f>IF(AND(J$5&gt;=$F15,J$5&lt;=$G15),"■","")</x:f>
      </x:c>
      <x:c r="K15" s="48" t="str">
        <x:f>IF(AND(K$5&gt;=$F15,K$5&lt;=$G15),"■","")</x:f>
      </x:c>
      <x:c r="L15" s="48" t="str">
        <x:f>IF(AND(L$5&gt;=$F15,L$5&lt;=$G15),"■","")</x:f>
      </x:c>
      <x:c r="M15" s="48" t="str">
        <x:f>IF(AND(M$5&gt;=$F15,M$5&lt;=$G15),"■","")</x:f>
      </x:c>
      <x:c r="N15" s="48" t="str">
        <x:f>IF(AND(N$5&gt;=$F15,N$5&lt;=$G15),"■","")</x:f>
      </x:c>
      <x:c r="O15" s="48" t="str">
        <x:f>IF(AND(O$5&gt;=$F15,O$5&lt;=$G15),"■","")</x:f>
      </x:c>
      <x:c r="P15" s="48" t="str">
        <x:f>IF(AND(P$5&gt;=$F15,P$5&lt;=$G15),"■","")</x:f>
      </x:c>
      <x:c r="Q15" s="48" t="str">
        <x:f>IF(AND(Q$5&gt;=$F15,Q$5&lt;=$G15),"■","")</x:f>
      </x:c>
      <x:c r="R15" s="48" t="str">
        <x:f>IF(AND(R$5&gt;=$F15,R$5&lt;=$G15),"■","")</x:f>
        <x:v>■</x:v>
      </x:c>
      <x:c r="S15" s="48" t="str">
        <x:f>IF(AND(S$5&gt;=$F15,S$5&lt;=$G15),"■","")</x:f>
      </x:c>
      <x:c r="T15" s="48" t="str">
        <x:f>IF(AND(T$5&gt;=$F15,T$5&lt;=$G15),"■","")</x:f>
      </x:c>
      <x:c r="U15" s="48" t="str">
        <x:f>IF(AND(U$5&gt;=$F15,U$5&lt;=$G15),"■","")</x:f>
      </x:c>
      <x:c r="V15" s="48" t="str">
        <x:f>IF(AND(V$5&gt;=$F15,V$5&lt;=$G15),"■","")</x:f>
      </x:c>
      <x:c r="W15" s="48" t="str">
        <x:f>IF(AND(W$5&gt;=$F15,W$5&lt;=$G15),"■","")</x:f>
      </x:c>
      <x:c r="X15" s="48" t="str">
        <x:f>IF(AND(X$5&gt;=$F15,X$5&lt;=$G15),"■","")</x:f>
      </x:c>
      <x:c r="Y15" s="48" t="str">
        <x:f>IF(AND(Y$5&gt;=$F15,Y$5&lt;=$G15),"■","")</x:f>
      </x:c>
      <x:c r="Z15" s="49" t="str">
        <x:f>IF(AND(Z$5&gt;=$F15,Z$5&lt;=$G15),"■","")</x:f>
      </x:c>
    </x:row>
    <x:row r="16">
      <x:c r="A16" s="20" t="str">
        <x:v>Integration</x:v>
      </x:c>
      <x:c r="B16" s="20" t="str">
        <x:v>Shared shore shop scene</x:v>
      </x:c>
      <x:c r="C16" s="20" t="str">
        <x:v>Lukas</x:v>
      </x:c>
      <x:c r="D16" s="20" t="str">
        <x:v>Max</x:v>
      </x:c>
      <x:c r="E16" s="20" t="str">
        <x:v>Completed</x:v>
      </x:c>
      <x:c r="F16" s="37" t="n">
        <x:v>46192</x:v>
      </x:c>
      <x:c r="G16" s="37" t="n">
        <x:v>46194</x:v>
      </x:c>
      <x:c r="H16" s="20" t="str">
        <x:v>Additive interior and two portals</x:v>
      </x:c>
      <x:c r="I16" s="20" t="str">
        <x:v>Run state remains in Main</x:v>
      </x:c>
      <x:c r="J16" s="48" t="str">
        <x:f>IF(AND(J$5&gt;=$F16,J$5&lt;=$G16),"■","")</x:f>
      </x:c>
      <x:c r="K16" s="48" t="str">
        <x:f>IF(AND(K$5&gt;=$F16,K$5&lt;=$G16),"■","")</x:f>
      </x:c>
      <x:c r="L16" s="48" t="str">
        <x:f>IF(AND(L$5&gt;=$F16,L$5&lt;=$G16),"■","")</x:f>
      </x:c>
      <x:c r="M16" s="48" t="str">
        <x:f>IF(AND(M$5&gt;=$F16,M$5&lt;=$G16),"■","")</x:f>
      </x:c>
      <x:c r="N16" s="48" t="str">
        <x:f>IF(AND(N$5&gt;=$F16,N$5&lt;=$G16),"■","")</x:f>
      </x:c>
      <x:c r="O16" s="48" t="str">
        <x:f>IF(AND(O$5&gt;=$F16,O$5&lt;=$G16),"■","")</x:f>
      </x:c>
      <x:c r="P16" s="48" t="str">
        <x:f>IF(AND(P$5&gt;=$F16,P$5&lt;=$G16),"■","")</x:f>
      </x:c>
      <x:c r="Q16" s="48" t="str">
        <x:f>IF(AND(Q$5&gt;=$F16,Q$5&lt;=$G16),"■","")</x:f>
      </x:c>
      <x:c r="R16" s="48" t="str">
        <x:f>IF(AND(R$5&gt;=$F16,R$5&lt;=$G16),"■","")</x:f>
      </x:c>
      <x:c r="S16" s="48" t="str">
        <x:f>IF(AND(S$5&gt;=$F16,S$5&lt;=$G16),"■","")</x:f>
        <x:v>■</x:v>
      </x:c>
      <x:c r="T16" s="48" t="str">
        <x:f>IF(AND(T$5&gt;=$F16,T$5&lt;=$G16),"■","")</x:f>
        <x:v>■</x:v>
      </x:c>
      <x:c r="U16" s="48" t="str">
        <x:f>IF(AND(U$5&gt;=$F16,U$5&lt;=$G16),"■","")</x:f>
        <x:v>■</x:v>
      </x:c>
      <x:c r="V16" s="48" t="str">
        <x:f>IF(AND(V$5&gt;=$F16,V$5&lt;=$G16),"■","")</x:f>
      </x:c>
      <x:c r="W16" s="48" t="str">
        <x:f>IF(AND(W$5&gt;=$F16,W$5&lt;=$G16),"■","")</x:f>
      </x:c>
      <x:c r="X16" s="48" t="str">
        <x:f>IF(AND(X$5&gt;=$F16,X$5&lt;=$G16),"■","")</x:f>
      </x:c>
      <x:c r="Y16" s="48" t="str">
        <x:f>IF(AND(Y$5&gt;=$F16,Y$5&lt;=$G16),"■","")</x:f>
      </x:c>
      <x:c r="Z16" s="49" t="str">
        <x:f>IF(AND(Z$5&gt;=$F16,Z$5&lt;=$G16),"■","")</x:f>
      </x:c>
    </x:row>
    <x:row r="17">
      <x:c r="A17" s="20" t="str">
        <x:v>Polish and Delivery</x:v>
      </x:c>
      <x:c r="B17" s="20" t="str">
        <x:v>Assignment 2 ePortfolio and workbook</x:v>
      </x:c>
      <x:c r="C17" s="20" t="str">
        <x:v>Lukas</x:v>
      </x:c>
      <x:c r="D17" s="20" t="str">
        <x:v>All</x:v>
      </x:c>
      <x:c r="E17" s="20" t="str">
        <x:v>Completed</x:v>
      </x:c>
      <x:c r="F17" s="37" t="n">
        <x:v>46194</x:v>
      </x:c>
      <x:c r="G17" s="37" t="n">
        <x:v>46194</x:v>
      </x:c>
      <x:c r="H17" s="20" t="str">
        <x:v>Website and .xlsx deliverables</x:v>
      </x:c>
      <x:c r="I17" s="20" t="str">
        <x:v>Screenshots still to be supplied</x:v>
      </x:c>
      <x:c r="J17" s="48" t="str">
        <x:f>IF(AND(J$5&gt;=$F17,J$5&lt;=$G17),"■","")</x:f>
      </x:c>
      <x:c r="K17" s="48" t="str">
        <x:f>IF(AND(K$5&gt;=$F17,K$5&lt;=$G17),"■","")</x:f>
      </x:c>
      <x:c r="L17" s="48" t="str">
        <x:f>IF(AND(L$5&gt;=$F17,L$5&lt;=$G17),"■","")</x:f>
      </x:c>
      <x:c r="M17" s="48" t="str">
        <x:f>IF(AND(M$5&gt;=$F17,M$5&lt;=$G17),"■","")</x:f>
      </x:c>
      <x:c r="N17" s="48" t="str">
        <x:f>IF(AND(N$5&gt;=$F17,N$5&lt;=$G17),"■","")</x:f>
      </x:c>
      <x:c r="O17" s="48" t="str">
        <x:f>IF(AND(O$5&gt;=$F17,O$5&lt;=$G17),"■","")</x:f>
      </x:c>
      <x:c r="P17" s="48" t="str">
        <x:f>IF(AND(P$5&gt;=$F17,P$5&lt;=$G17),"■","")</x:f>
      </x:c>
      <x:c r="Q17" s="48" t="str">
        <x:f>IF(AND(Q$5&gt;=$F17,Q$5&lt;=$G17),"■","")</x:f>
      </x:c>
      <x:c r="R17" s="48" t="str">
        <x:f>IF(AND(R$5&gt;=$F17,R$5&lt;=$G17),"■","")</x:f>
      </x:c>
      <x:c r="S17" s="48" t="str">
        <x:f>IF(AND(S$5&gt;=$F17,S$5&lt;=$G17),"■","")</x:f>
      </x:c>
      <x:c r="T17" s="48" t="str">
        <x:f>IF(AND(T$5&gt;=$F17,T$5&lt;=$G17),"■","")</x:f>
      </x:c>
      <x:c r="U17" s="48" t="str">
        <x:f>IF(AND(U$5&gt;=$F17,U$5&lt;=$G17),"■","")</x:f>
        <x:v>■</x:v>
      </x:c>
      <x:c r="V17" s="48" t="str">
        <x:f>IF(AND(V$5&gt;=$F17,V$5&lt;=$G17),"■","")</x:f>
      </x:c>
      <x:c r="W17" s="48" t="str">
        <x:f>IF(AND(W$5&gt;=$F17,W$5&lt;=$G17),"■","")</x:f>
      </x:c>
      <x:c r="X17" s="48" t="str">
        <x:f>IF(AND(X$5&gt;=$F17,X$5&lt;=$G17),"■","")</x:f>
      </x:c>
      <x:c r="Y17" s="48" t="str">
        <x:f>IF(AND(Y$5&gt;=$F17,Y$5&lt;=$G17),"■","")</x:f>
      </x:c>
      <x:c r="Z17" s="49" t="str">
        <x:f>IF(AND(Z$5&gt;=$F17,Z$5&lt;=$G17),"■","")</x:f>
      </x:c>
    </x:row>
    <x:row r="18">
      <x:c r="A18" s="20" t="str">
        <x:v>Audio</x:v>
      </x:c>
      <x:c r="B18" s="20" t="str">
        <x:v>Complete audio coverage and spatialization</x:v>
      </x:c>
      <x:c r="C18" s="20" t="str">
        <x:v>Istvan</x:v>
      </x:c>
      <x:c r="D18" s="20" t="str">
        <x:v>Lukas</x:v>
      </x:c>
      <x:c r="E18" s="20" t="str">
        <x:v>In Progress</x:v>
      </x:c>
      <x:c r="F18" s="37" t="n">
        <x:v>46195</x:v>
      </x:c>
      <x:c r="G18" s="37" t="n">
        <x:v>46197</x:v>
      </x:c>
      <x:c r="H18" s="20" t="str">
        <x:v>Expected object and action sounds</x:v>
      </x:c>
      <x:c r="I18" s="20" t="str">
        <x:v>Provisional dates</x:v>
      </x:c>
      <x:c r="J18" s="48" t="str">
        <x:f>IF(AND(J$5&gt;=$F18,J$5&lt;=$G18),"■","")</x:f>
      </x:c>
      <x:c r="K18" s="48" t="str">
        <x:f>IF(AND(K$5&gt;=$F18,K$5&lt;=$G18),"■","")</x:f>
      </x:c>
      <x:c r="L18" s="48" t="str">
        <x:f>IF(AND(L$5&gt;=$F18,L$5&lt;=$G18),"■","")</x:f>
      </x:c>
      <x:c r="M18" s="48" t="str">
        <x:f>IF(AND(M$5&gt;=$F18,M$5&lt;=$G18),"■","")</x:f>
      </x:c>
      <x:c r="N18" s="48" t="str">
        <x:f>IF(AND(N$5&gt;=$F18,N$5&lt;=$G18),"■","")</x:f>
      </x:c>
      <x:c r="O18" s="48" t="str">
        <x:f>IF(AND(O$5&gt;=$F18,O$5&lt;=$G18),"■","")</x:f>
      </x:c>
      <x:c r="P18" s="48" t="str">
        <x:f>IF(AND(P$5&gt;=$F18,P$5&lt;=$G18),"■","")</x:f>
      </x:c>
      <x:c r="Q18" s="48" t="str">
        <x:f>IF(AND(Q$5&gt;=$F18,Q$5&lt;=$G18),"■","")</x:f>
      </x:c>
      <x:c r="R18" s="48" t="str">
        <x:f>IF(AND(R$5&gt;=$F18,R$5&lt;=$G18),"■","")</x:f>
      </x:c>
      <x:c r="S18" s="48" t="str">
        <x:f>IF(AND(S$5&gt;=$F18,S$5&lt;=$G18),"■","")</x:f>
      </x:c>
      <x:c r="T18" s="48" t="str">
        <x:f>IF(AND(T$5&gt;=$F18,T$5&lt;=$G18),"■","")</x:f>
      </x:c>
      <x:c r="U18" s="48" t="str">
        <x:f>IF(AND(U$5&gt;=$F18,U$5&lt;=$G18),"■","")</x:f>
      </x:c>
      <x:c r="V18" s="48" t="str">
        <x:f>IF(AND(V$5&gt;=$F18,V$5&lt;=$G18),"■","")</x:f>
        <x:v>■</x:v>
      </x:c>
      <x:c r="W18" s="48" t="str">
        <x:f>IF(AND(W$5&gt;=$F18,W$5&lt;=$G18),"■","")</x:f>
        <x:v>■</x:v>
      </x:c>
      <x:c r="X18" s="48" t="str">
        <x:f>IF(AND(X$5&gt;=$F18,X$5&lt;=$G18),"■","")</x:f>
        <x:v>■</x:v>
      </x:c>
      <x:c r="Y18" s="48" t="str">
        <x:f>IF(AND(Y$5&gt;=$F18,Y$5&lt;=$G18),"■","")</x:f>
      </x:c>
      <x:c r="Z18" s="49" t="str">
        <x:f>IF(AND(Z$5&gt;=$F18,Z$5&lt;=$G18),"■","")</x:f>
      </x:c>
    </x:row>
    <x:row r="19">
      <x:c r="A19" s="20" t="str">
        <x:v>3D and Animation</x:v>
      </x:c>
      <x:c r="B19" s="20" t="str">
        <x:v>Action animation and final asset QA</x:v>
      </x:c>
      <x:c r="C19" s="20" t="str">
        <x:v>Philip</x:v>
      </x:c>
      <x:c r="D19" s="20" t="str">
        <x:v>Lukas</x:v>
      </x:c>
      <x:c r="E19" s="20" t="str">
        <x:v>In Progress</x:v>
      </x:c>
      <x:c r="F19" s="37" t="n">
        <x:v>46195</x:v>
      </x:c>
      <x:c r="G19" s="37" t="n">
        <x:v>46197</x:v>
      </x:c>
      <x:c r="H19" s="20" t="str">
        <x:v>Three Fraunz animations and verified assets</x:v>
      </x:c>
      <x:c r="I19" s="20" t="str">
        <x:v>Provisional dates</x:v>
      </x:c>
      <x:c r="J19" s="48" t="str">
        <x:f>IF(AND(J$5&gt;=$F19,J$5&lt;=$G19),"■","")</x:f>
      </x:c>
      <x:c r="K19" s="48" t="str">
        <x:f>IF(AND(K$5&gt;=$F19,K$5&lt;=$G19),"■","")</x:f>
      </x:c>
      <x:c r="L19" s="48" t="str">
        <x:f>IF(AND(L$5&gt;=$F19,L$5&lt;=$G19),"■","")</x:f>
      </x:c>
      <x:c r="M19" s="48" t="str">
        <x:f>IF(AND(M$5&gt;=$F19,M$5&lt;=$G19),"■","")</x:f>
      </x:c>
      <x:c r="N19" s="48" t="str">
        <x:f>IF(AND(N$5&gt;=$F19,N$5&lt;=$G19),"■","")</x:f>
      </x:c>
      <x:c r="O19" s="48" t="str">
        <x:f>IF(AND(O$5&gt;=$F19,O$5&lt;=$G19),"■","")</x:f>
      </x:c>
      <x:c r="P19" s="48" t="str">
        <x:f>IF(AND(P$5&gt;=$F19,P$5&lt;=$G19),"■","")</x:f>
      </x:c>
      <x:c r="Q19" s="48" t="str">
        <x:f>IF(AND(Q$5&gt;=$F19,Q$5&lt;=$G19),"■","")</x:f>
      </x:c>
      <x:c r="R19" s="48" t="str">
        <x:f>IF(AND(R$5&gt;=$F19,R$5&lt;=$G19),"■","")</x:f>
      </x:c>
      <x:c r="S19" s="48" t="str">
        <x:f>IF(AND(S$5&gt;=$F19,S$5&lt;=$G19),"■","")</x:f>
      </x:c>
      <x:c r="T19" s="48" t="str">
        <x:f>IF(AND(T$5&gt;=$F19,T$5&lt;=$G19),"■","")</x:f>
      </x:c>
      <x:c r="U19" s="48" t="str">
        <x:f>IF(AND(U$5&gt;=$F19,U$5&lt;=$G19),"■","")</x:f>
      </x:c>
      <x:c r="V19" s="48" t="str">
        <x:f>IF(AND(V$5&gt;=$F19,V$5&lt;=$G19),"■","")</x:f>
        <x:v>■</x:v>
      </x:c>
      <x:c r="W19" s="48" t="str">
        <x:f>IF(AND(W$5&gt;=$F19,W$5&lt;=$G19),"■","")</x:f>
        <x:v>■</x:v>
      </x:c>
      <x:c r="X19" s="48" t="str">
        <x:f>IF(AND(X$5&gt;=$F19,X$5&lt;=$G19),"■","")</x:f>
        <x:v>■</x:v>
      </x:c>
      <x:c r="Y19" s="48" t="str">
        <x:f>IF(AND(Y$5&gt;=$F19,Y$5&lt;=$G19),"■","")</x:f>
      </x:c>
      <x:c r="Z19" s="49" t="str">
        <x:f>IF(AND(Z$5&gt;=$F19,Z$5&lt;=$G19),"■","")</x:f>
      </x:c>
    </x:row>
    <x:row r="20">
      <x:c r="A20" s="20" t="str">
        <x:v>Polish and Delivery</x:v>
      </x:c>
      <x:c r="B20" s="20" t="str">
        <x:v>Gameplay balancing and bug polish</x:v>
      </x:c>
      <x:c r="C20" s="20" t="str">
        <x:v>Max</x:v>
      </x:c>
      <x:c r="D20" s="20" t="str">
        <x:v>Lukas</x:v>
      </x:c>
      <x:c r="E20" s="20" t="str">
        <x:v>Planned</x:v>
      </x:c>
      <x:c r="F20" s="37" t="n">
        <x:v>46195</x:v>
      </x:c>
      <x:c r="G20" s="37" t="n">
        <x:v>46197</x:v>
      </x:c>
      <x:c r="H20" s="20" t="str">
        <x:v>Stable tuned vertical slice</x:v>
      </x:c>
      <x:c r="I20" s="20" t="str">
        <x:v>Provisional dates</x:v>
      </x:c>
      <x:c r="J20" s="48" t="str">
        <x:f>IF(AND(J$5&gt;=$F20,J$5&lt;=$G20),"■","")</x:f>
      </x:c>
      <x:c r="K20" s="48" t="str">
        <x:f>IF(AND(K$5&gt;=$F20,K$5&lt;=$G20),"■","")</x:f>
      </x:c>
      <x:c r="L20" s="48" t="str">
        <x:f>IF(AND(L$5&gt;=$F20,L$5&lt;=$G20),"■","")</x:f>
      </x:c>
      <x:c r="M20" s="48" t="str">
        <x:f>IF(AND(M$5&gt;=$F20,M$5&lt;=$G20),"■","")</x:f>
      </x:c>
      <x:c r="N20" s="48" t="str">
        <x:f>IF(AND(N$5&gt;=$F20,N$5&lt;=$G20),"■","")</x:f>
      </x:c>
      <x:c r="O20" s="48" t="str">
        <x:f>IF(AND(O$5&gt;=$F20,O$5&lt;=$G20),"■","")</x:f>
      </x:c>
      <x:c r="P20" s="48" t="str">
        <x:f>IF(AND(P$5&gt;=$F20,P$5&lt;=$G20),"■","")</x:f>
      </x:c>
      <x:c r="Q20" s="48" t="str">
        <x:f>IF(AND(Q$5&gt;=$F20,Q$5&lt;=$G20),"■","")</x:f>
      </x:c>
      <x:c r="R20" s="48" t="str">
        <x:f>IF(AND(R$5&gt;=$F20,R$5&lt;=$G20),"■","")</x:f>
      </x:c>
      <x:c r="S20" s="48" t="str">
        <x:f>IF(AND(S$5&gt;=$F20,S$5&lt;=$G20),"■","")</x:f>
      </x:c>
      <x:c r="T20" s="48" t="str">
        <x:f>IF(AND(T$5&gt;=$F20,T$5&lt;=$G20),"■","")</x:f>
      </x:c>
      <x:c r="U20" s="48" t="str">
        <x:f>IF(AND(U$5&gt;=$F20,U$5&lt;=$G20),"■","")</x:f>
      </x:c>
      <x:c r="V20" s="48" t="str">
        <x:f>IF(AND(V$5&gt;=$F20,V$5&lt;=$G20),"■","")</x:f>
        <x:v>■</x:v>
      </x:c>
      <x:c r="W20" s="48" t="str">
        <x:f>IF(AND(W$5&gt;=$F20,W$5&lt;=$G20),"■","")</x:f>
        <x:v>■</x:v>
      </x:c>
      <x:c r="X20" s="48" t="str">
        <x:f>IF(AND(X$5&gt;=$F20,X$5&lt;=$G20),"■","")</x:f>
        <x:v>■</x:v>
      </x:c>
      <x:c r="Y20" s="48" t="str">
        <x:f>IF(AND(Y$5&gt;=$F20,Y$5&lt;=$G20),"■","")</x:f>
      </x:c>
      <x:c r="Z20" s="49" t="str">
        <x:f>IF(AND(Z$5&gt;=$F20,Z$5&lt;=$G20),"■","")</x:f>
      </x:c>
    </x:row>
    <x:row r="21">
      <x:c r="A21" s="20" t="str">
        <x:v>Polish and Delivery</x:v>
      </x:c>
      <x:c r="B21" s="20" t="str">
        <x:v>Executable build and fresh-machine test</x:v>
      </x:c>
      <x:c r="C21" s="20" t="str">
        <x:v>Lukas</x:v>
      </x:c>
      <x:c r="D21" s="20" t="str">
        <x:v>Max</x:v>
      </x:c>
      <x:c r="E21" s="20" t="str">
        <x:v>Planned</x:v>
      </x:c>
      <x:c r="F21" s="37" t="n">
        <x:v>46198</x:v>
      </x:c>
      <x:c r="G21" s="37" t="n">
        <x:v>46198</x:v>
      </x:c>
      <x:c r="H21" s="20" t="str">
        <x:v>ProjectName_Binary.zip</x:v>
      </x:c>
      <x:c r="I21" s="20" t="str">
        <x:v>Provisional dates</x:v>
      </x:c>
      <x:c r="J21" s="48" t="str">
        <x:f>IF(AND(J$5&gt;=$F21,J$5&lt;=$G21),"■","")</x:f>
      </x:c>
      <x:c r="K21" s="48" t="str">
        <x:f>IF(AND(K$5&gt;=$F21,K$5&lt;=$G21),"■","")</x:f>
      </x:c>
      <x:c r="L21" s="48" t="str">
        <x:f>IF(AND(L$5&gt;=$F21,L$5&lt;=$G21),"■","")</x:f>
      </x:c>
      <x:c r="M21" s="48" t="str">
        <x:f>IF(AND(M$5&gt;=$F21,M$5&lt;=$G21),"■","")</x:f>
      </x:c>
      <x:c r="N21" s="48" t="str">
        <x:f>IF(AND(N$5&gt;=$F21,N$5&lt;=$G21),"■","")</x:f>
      </x:c>
      <x:c r="O21" s="48" t="str">
        <x:f>IF(AND(O$5&gt;=$F21,O$5&lt;=$G21),"■","")</x:f>
      </x:c>
      <x:c r="P21" s="48" t="str">
        <x:f>IF(AND(P$5&gt;=$F21,P$5&lt;=$G21),"■","")</x:f>
      </x:c>
      <x:c r="Q21" s="48" t="str">
        <x:f>IF(AND(Q$5&gt;=$F21,Q$5&lt;=$G21),"■","")</x:f>
      </x:c>
      <x:c r="R21" s="48" t="str">
        <x:f>IF(AND(R$5&gt;=$F21,R$5&lt;=$G21),"■","")</x:f>
      </x:c>
      <x:c r="S21" s="48" t="str">
        <x:f>IF(AND(S$5&gt;=$F21,S$5&lt;=$G21),"■","")</x:f>
      </x:c>
      <x:c r="T21" s="48" t="str">
        <x:f>IF(AND(T$5&gt;=$F21,T$5&lt;=$G21),"■","")</x:f>
      </x:c>
      <x:c r="U21" s="48" t="str">
        <x:f>IF(AND(U$5&gt;=$F21,U$5&lt;=$G21),"■","")</x:f>
      </x:c>
      <x:c r="V21" s="48" t="str">
        <x:f>IF(AND(V$5&gt;=$F21,V$5&lt;=$G21),"■","")</x:f>
      </x:c>
      <x:c r="W21" s="48" t="str">
        <x:f>IF(AND(W$5&gt;=$F21,W$5&lt;=$G21),"■","")</x:f>
      </x:c>
      <x:c r="X21" s="48" t="str">
        <x:f>IF(AND(X$5&gt;=$F21,X$5&lt;=$G21),"■","")</x:f>
      </x:c>
      <x:c r="Y21" s="48" t="str">
        <x:f>IF(AND(Y$5&gt;=$F21,Y$5&lt;=$G21),"■","")</x:f>
        <x:v>■</x:v>
      </x:c>
      <x:c r="Z21" s="49" t="str">
        <x:f>IF(AND(Z$5&gt;=$F21,Z$5&lt;=$G21),"■","")</x:f>
      </x:c>
    </x:row>
    <x:row r="22">
      <x:c r="A22" s="20" t="str">
        <x:v>Polish and Delivery</x:v>
      </x:c>
      <x:c r="B22" s="20" t="str">
        <x:v>Presentation, report, and ePortfolio evidence</x:v>
      </x:c>
      <x:c r="C22" s="20" t="str">
        <x:v>Lukas</x:v>
      </x:c>
      <x:c r="D22" s="20" t="str">
        <x:v>All</x:v>
      </x:c>
      <x:c r="E22" s="20" t="str">
        <x:v>In Progress</x:v>
      </x:c>
      <x:c r="F22" s="37" t="n">
        <x:v>46195</x:v>
      </x:c>
      <x:c r="G22" s="37" t="n">
        <x:v>46199</x:v>
      </x:c>
      <x:c r="H22" s="20" t="str">
        <x:v>PPTX, markdown report, screenshots</x:v>
      </x:c>
      <x:c r="I22" s="20" t="str">
        <x:v>Provisional dates</x:v>
      </x:c>
      <x:c r="J22" s="48" t="str">
        <x:f>IF(AND(J$5&gt;=$F22,J$5&lt;=$G22),"■","")</x:f>
      </x:c>
      <x:c r="K22" s="48" t="str">
        <x:f>IF(AND(K$5&gt;=$F22,K$5&lt;=$G22),"■","")</x:f>
      </x:c>
      <x:c r="L22" s="48" t="str">
        <x:f>IF(AND(L$5&gt;=$F22,L$5&lt;=$G22),"■","")</x:f>
      </x:c>
      <x:c r="M22" s="48" t="str">
        <x:f>IF(AND(M$5&gt;=$F22,M$5&lt;=$G22),"■","")</x:f>
      </x:c>
      <x:c r="N22" s="48" t="str">
        <x:f>IF(AND(N$5&gt;=$F22,N$5&lt;=$G22),"■","")</x:f>
      </x:c>
      <x:c r="O22" s="48" t="str">
        <x:f>IF(AND(O$5&gt;=$F22,O$5&lt;=$G22),"■","")</x:f>
      </x:c>
      <x:c r="P22" s="48" t="str">
        <x:f>IF(AND(P$5&gt;=$F22,P$5&lt;=$G22),"■","")</x:f>
      </x:c>
      <x:c r="Q22" s="48" t="str">
        <x:f>IF(AND(Q$5&gt;=$F22,Q$5&lt;=$G22),"■","")</x:f>
      </x:c>
      <x:c r="R22" s="48" t="str">
        <x:f>IF(AND(R$5&gt;=$F22,R$5&lt;=$G22),"■","")</x:f>
      </x:c>
      <x:c r="S22" s="48" t="str">
        <x:f>IF(AND(S$5&gt;=$F22,S$5&lt;=$G22),"■","")</x:f>
      </x:c>
      <x:c r="T22" s="48" t="str">
        <x:f>IF(AND(T$5&gt;=$F22,T$5&lt;=$G22),"■","")</x:f>
      </x:c>
      <x:c r="U22" s="48" t="str">
        <x:f>IF(AND(U$5&gt;=$F22,U$5&lt;=$G22),"■","")</x:f>
      </x:c>
      <x:c r="V22" s="48" t="str">
        <x:f>IF(AND(V$5&gt;=$F22,V$5&lt;=$G22),"■","")</x:f>
        <x:v>■</x:v>
      </x:c>
      <x:c r="W22" s="48" t="str">
        <x:f>IF(AND(W$5&gt;=$F22,W$5&lt;=$G22),"■","")</x:f>
        <x:v>■</x:v>
      </x:c>
      <x:c r="X22" s="48" t="str">
        <x:f>IF(AND(X$5&gt;=$F22,X$5&lt;=$G22),"■","")</x:f>
        <x:v>■</x:v>
      </x:c>
      <x:c r="Y22" s="48" t="str">
        <x:f>IF(AND(Y$5&gt;=$F22,Y$5&lt;=$G22),"■","")</x:f>
        <x:v>■</x:v>
      </x:c>
      <x:c r="Z22" s="49" t="str">
        <x:f>IF(AND(Z$5&gt;=$F22,Z$5&lt;=$G22),"■","")</x:f>
        <x:v>■</x:v>
      </x:c>
    </x:row>
    <x:row r="23">
      <x:c r="A23" s="20" t="str">
        <x:v>Polish and Delivery</x:v>
      </x:c>
      <x:c r="B23" s="20" t="str">
        <x:v>Promotion image and five-minute video</x:v>
      </x:c>
      <x:c r="C23" s="20" t="str">
        <x:v>Philip</x:v>
      </x:c>
      <x:c r="D23" s="20" t="str">
        <x:v>All</x:v>
      </x:c>
      <x:c r="E23" s="20" t="str">
        <x:v>Planned</x:v>
      </x:c>
      <x:c r="F23" s="37" t="n">
        <x:v>46198</x:v>
      </x:c>
      <x:c r="G23" s="37" t="n">
        <x:v>46199</x:v>
      </x:c>
      <x:c r="H23" s="20" t="str">
        <x:v>2400x1800 PNG and MP4</x:v>
      </x:c>
      <x:c r="I23" s="20" t="str">
        <x:v>Provisional dates</x:v>
      </x:c>
      <x:c r="J23" s="48" t="str">
        <x:f>IF(AND(J$5&gt;=$F23,J$5&lt;=$G23),"■","")</x:f>
      </x:c>
      <x:c r="K23" s="48" t="str">
        <x:f>IF(AND(K$5&gt;=$F23,K$5&lt;=$G23),"■","")</x:f>
      </x:c>
      <x:c r="L23" s="48" t="str">
        <x:f>IF(AND(L$5&gt;=$F23,L$5&lt;=$G23),"■","")</x:f>
      </x:c>
      <x:c r="M23" s="48" t="str">
        <x:f>IF(AND(M$5&gt;=$F23,M$5&lt;=$G23),"■","")</x:f>
      </x:c>
      <x:c r="N23" s="48" t="str">
        <x:f>IF(AND(N$5&gt;=$F23,N$5&lt;=$G23),"■","")</x:f>
      </x:c>
      <x:c r="O23" s="48" t="str">
        <x:f>IF(AND(O$5&gt;=$F23,O$5&lt;=$G23),"■","")</x:f>
      </x:c>
      <x:c r="P23" s="48" t="str">
        <x:f>IF(AND(P$5&gt;=$F23,P$5&lt;=$G23),"■","")</x:f>
      </x:c>
      <x:c r="Q23" s="48" t="str">
        <x:f>IF(AND(Q$5&gt;=$F23,Q$5&lt;=$G23),"■","")</x:f>
      </x:c>
      <x:c r="R23" s="48" t="str">
        <x:f>IF(AND(R$5&gt;=$F23,R$5&lt;=$G23),"■","")</x:f>
      </x:c>
      <x:c r="S23" s="48" t="str">
        <x:f>IF(AND(S$5&gt;=$F23,S$5&lt;=$G23),"■","")</x:f>
      </x:c>
      <x:c r="T23" s="48" t="str">
        <x:f>IF(AND(T$5&gt;=$F23,T$5&lt;=$G23),"■","")</x:f>
      </x:c>
      <x:c r="U23" s="48" t="str">
        <x:f>IF(AND(U$5&gt;=$F23,U$5&lt;=$G23),"■","")</x:f>
      </x:c>
      <x:c r="V23" s="48" t="str">
        <x:f>IF(AND(V$5&gt;=$F23,V$5&lt;=$G23),"■","")</x:f>
      </x:c>
      <x:c r="W23" s="48" t="str">
        <x:f>IF(AND(W$5&gt;=$F23,W$5&lt;=$G23),"■","")</x:f>
      </x:c>
      <x:c r="X23" s="48" t="str">
        <x:f>IF(AND(X$5&gt;=$F23,X$5&lt;=$G23),"■","")</x:f>
      </x:c>
      <x:c r="Y23" s="48" t="str">
        <x:f>IF(AND(Y$5&gt;=$F23,Y$5&lt;=$G23),"■","")</x:f>
        <x:v>■</x:v>
      </x:c>
      <x:c r="Z23" s="49" t="str">
        <x:f>IF(AND(Z$5&gt;=$F23,Z$5&lt;=$G23),"■","")</x:f>
        <x:v>■</x:v>
      </x:c>
    </x:row>
    <x:row r="24">
      <x:c r="A24" s="21" t="str">
        <x:v>Polish and Delivery</x:v>
      </x:c>
      <x:c r="B24" s="21" t="str">
        <x:v>Final package and submission</x:v>
      </x:c>
      <x:c r="C24" s="21" t="str">
        <x:v>Lukas</x:v>
      </x:c>
      <x:c r="D24" s="21" t="str">
        <x:v>All</x:v>
      </x:c>
      <x:c r="E24" s="21" t="str">
        <x:v>Planned</x:v>
      </x:c>
      <x:c r="F24" s="38" t="n">
        <x:v>46199</x:v>
      </x:c>
      <x:c r="G24" s="38" t="n">
        <x:v>46199</x:v>
      </x:c>
      <x:c r="H24" s="21" t="str">
        <x:v>ProjectName_GroupID.zip</x:v>
      </x:c>
      <x:c r="I24" s="21" t="str">
        <x:v>Group ID required</x:v>
      </x:c>
      <x:c r="J24" s="50" t="str">
        <x:f>IF(AND(J$5&gt;=$F24,J$5&lt;=$G24),"■","")</x:f>
      </x:c>
      <x:c r="K24" s="50" t="str">
        <x:f>IF(AND(K$5&gt;=$F24,K$5&lt;=$G24),"■","")</x:f>
      </x:c>
      <x:c r="L24" s="50" t="str">
        <x:f>IF(AND(L$5&gt;=$F24,L$5&lt;=$G24),"■","")</x:f>
      </x:c>
      <x:c r="M24" s="50" t="str">
        <x:f>IF(AND(M$5&gt;=$F24,M$5&lt;=$G24),"■","")</x:f>
      </x:c>
      <x:c r="N24" s="50" t="str">
        <x:f>IF(AND(N$5&gt;=$F24,N$5&lt;=$G24),"■","")</x:f>
      </x:c>
      <x:c r="O24" s="50" t="str">
        <x:f>IF(AND(O$5&gt;=$F24,O$5&lt;=$G24),"■","")</x:f>
      </x:c>
      <x:c r="P24" s="50" t="str">
        <x:f>IF(AND(P$5&gt;=$F24,P$5&lt;=$G24),"■","")</x:f>
      </x:c>
      <x:c r="Q24" s="50" t="str">
        <x:f>IF(AND(Q$5&gt;=$F24,Q$5&lt;=$G24),"■","")</x:f>
      </x:c>
      <x:c r="R24" s="50" t="str">
        <x:f>IF(AND(R$5&gt;=$F24,R$5&lt;=$G24),"■","")</x:f>
      </x:c>
      <x:c r="S24" s="50" t="str">
        <x:f>IF(AND(S$5&gt;=$F24,S$5&lt;=$G24),"■","")</x:f>
      </x:c>
      <x:c r="T24" s="50" t="str">
        <x:f>IF(AND(T$5&gt;=$F24,T$5&lt;=$G24),"■","")</x:f>
      </x:c>
      <x:c r="U24" s="50" t="str">
        <x:f>IF(AND(U$5&gt;=$F24,U$5&lt;=$G24),"■","")</x:f>
      </x:c>
      <x:c r="V24" s="50" t="str">
        <x:f>IF(AND(V$5&gt;=$F24,V$5&lt;=$G24),"■","")</x:f>
      </x:c>
      <x:c r="W24" s="50" t="str">
        <x:f>IF(AND(W$5&gt;=$F24,W$5&lt;=$G24),"■","")</x:f>
      </x:c>
      <x:c r="X24" s="50" t="str">
        <x:f>IF(AND(X$5&gt;=$F24,X$5&lt;=$G24),"■","")</x:f>
      </x:c>
      <x:c r="Y24" s="50" t="str">
        <x:f>IF(AND(Y$5&gt;=$F24,Y$5&lt;=$G24),"■","")</x:f>
      </x:c>
      <x:c r="Z24" s="51" t="str">
        <x:f>IF(AND(Z$5&gt;=$F24,Z$5&lt;=$G24),"■","")</x:f>
        <x:v>■</x:v>
      </x:c>
    </x:row>
  </x:sheetData>
  <x:mergeCells>
    <x:mergeCell ref="A1:Z1"/>
    <x:mergeCell ref="A2:Z2"/>
  </x:mergeCells>
  <x:conditionalFormatting sqref="E6:E24">
    <x:cfRule type="containsText" dxfId="3" priority="1" operator="containsText" text="Completed"/>
    <x:cfRule type="containsText" dxfId="4" priority="2" operator="containsText" text="In Progress"/>
    <x:cfRule type="containsText" dxfId="5" priority="3" operator="containsText" text="Planned"/>
  </x:conditionalFormatting>
  <x:dataValidations count="2">
    <x:dataValidation type="list" sqref="C6:C24">
      <x:formula1>"Lukas,Philip,Max,Istvan"</x:formula1>
    </x:dataValidation>
    <x:dataValidation type="list" sqref="E6:E24">
      <x:formula1>"Completed,In Progress,Planned"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2" hidden="0" customWidth="1"/>
    <x:col min="3" max="3" width="16" hidden="0" customWidth="1"/>
    <x:col min="4" max="4" width="21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32" hidden="0" customWidth="1"/>
    <x:col min="10" max="10" width="28" hidden="0" customWidth="1"/>
    <x:col min="11" max="11" width="3" hidden="0" customWidth="1"/>
    <x:col min="12" max="12" width="25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38" customHeight="1">
      <x:c r="A1" s="3" t="str">
        <x:v>ROLLFÄHREN FURY · TASK DISTRIBUTION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5" t="str">
        <x:v>Primary owners reflect the agreed team split and repository history. Supporting members indicate collaboration, review, or integration work.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>
      <x:c r="L4" s="9" t="str">
        <x:v>MEMBER SUMMARY</x:v>
      </x:c>
      <x:c r="M4" s="9"/>
      <x:c r="N4" s="9"/>
      <x:c r="O4" s="9"/>
    </x:row>
    <x:row r="5">
      <x:c r="A5" s="14" t="str">
        <x:v>Phase</x:v>
      </x:c>
      <x:c r="B5" s="14" t="str">
        <x:v>Task</x:v>
      </x:c>
      <x:c r="C5" s="14" t="str">
        <x:v>Primary Owner</x:v>
      </x:c>
      <x:c r="D5" s="14" t="str">
        <x:v>Supporting Members</x:v>
      </x:c>
      <x:c r="E5" s="14" t="str">
        <x:v>Status</x:v>
      </x:c>
      <x:c r="F5" s="14" t="str">
        <x:v>Planned Start</x:v>
      </x:c>
      <x:c r="G5" s="14" t="str">
        <x:v>Planned End</x:v>
      </x:c>
      <x:c r="H5" s="14" t="str">
        <x:v>Actual / Target</x:v>
      </x:c>
      <x:c r="I5" s="14" t="str">
        <x:v>Deliverable</x:v>
      </x:c>
      <x:c r="J5" s="14" t="str">
        <x:v>Notes</x:v>
      </x:c>
      <x:c r="L5" s="14" t="str">
        <x:v>Member</x:v>
      </x:c>
      <x:c r="M5" s="14" t="str">
        <x:v>Primary tasks</x:v>
      </x:c>
      <x:c r="N5" s="14" t="str">
        <x:v>Completed</x:v>
      </x:c>
      <x:c r="O5" s="14" t="str">
        <x:v>Completion</x:v>
      </x:c>
    </x:row>
    <x:row r="6">
      <x:c r="A6" s="20" t="str">
        <x:v>Foundation</x:v>
      </x:c>
      <x:c r="B6" s="20" t="str">
        <x:v>Create Unity URP project and Git repository</x:v>
      </x:c>
      <x:c r="C6" s="20" t="str">
        <x:v>Lukas</x:v>
      </x:c>
      <x:c r="D6" s="20" t="str">
        <x:v>Max</x:v>
      </x:c>
      <x:c r="E6" s="20" t="str">
        <x:v>Completed</x:v>
      </x:c>
      <x:c r="F6" s="26" t="n">
        <x:v>46183</x:v>
      </x:c>
      <x:c r="G6" s="26" t="n">
        <x:v>46183</x:v>
      </x:c>
      <x:c r="H6" s="26" t="n">
        <x:v>46183</x:v>
      </x:c>
      <x:c r="I6" s="20" t="str">
        <x:v>Shared project baseline</x:v>
      </x:c>
      <x:c r="J6" s="20" t="str">
        <x:v>Unity 6000.3.6f1</x:v>
      </x:c>
      <x:c r="L6" s="20" t="str">
        <x:v>Lukas</x:v>
      </x:c>
      <x:c r="M6" s="20" t="n">
        <x:f>COUNTIF($C$6:$C$35,L6)</x:f>
        <x:v>16</x:v>
      </x:c>
      <x:c r="N6" s="20" t="n">
        <x:f>COUNTIFS($C$6:$C$35,L6,$E$6:$E$35,"Completed")</x:f>
        <x:v>13</x:v>
      </x:c>
      <x:c r="O6" s="24" t="n">
        <x:f>IF(M6=0,0,N6/M6)</x:f>
        <x:v>0.8125</x:v>
      </x:c>
    </x:row>
    <x:row r="7">
      <x:c r="A7" s="20" t="str">
        <x:v>Foundation</x:v>
      </x:c>
      <x:c r="B7" s="20" t="str">
        <x:v>Configure Git LFS, ignore rules, and documentation</x:v>
      </x:c>
      <x:c r="C7" s="20" t="str">
        <x:v>Lukas</x:v>
      </x:c>
      <x:c r="D7" s="20" t="str">
        <x:v>Max</x:v>
      </x:c>
      <x:c r="E7" s="20" t="str">
        <x:v>Completed</x:v>
      </x:c>
      <x:c r="F7" s="26" t="n">
        <x:v>46183</x:v>
      </x:c>
      <x:c r="G7" s="26" t="n">
        <x:v>46188</x:v>
      </x:c>
      <x:c r="H7" s="26" t="n">
        <x:v>46188</x:v>
      </x:c>
      <x:c r="I7" s="20" t="str">
        <x:v>Clean repository workflow</x:v>
      </x:c>
      <x:c r="J7" s="20" t="str">
        <x:v>Includes AGENTS and setup docs</x:v>
      </x:c>
      <x:c r="L7" s="20" t="str">
        <x:v>Philip</x:v>
      </x:c>
      <x:c r="M7" s="20" t="n">
        <x:f>COUNTIF($C$6:$C$35,L7)</x:f>
        <x:v>6</x:v>
      </x:c>
      <x:c r="N7" s="20" t="n">
        <x:f>COUNTIFS($C$6:$C$35,L7,$E$6:$E$35,"Completed")</x:f>
        <x:v>4</x:v>
      </x:c>
      <x:c r="O7" s="24" t="n">
        <x:f>IF(M7=0,0,N7/M7)</x:f>
        <x:v>0.6666666666666666</x:v>
      </x:c>
    </x:row>
    <x:row r="8">
      <x:c r="A8" s="20" t="str">
        <x:v>Foundation</x:v>
      </x:c>
      <x:c r="B8" s="20" t="str">
        <x:v>Integrate Wwise Unity package</x:v>
      </x:c>
      <x:c r="C8" s="20" t="str">
        <x:v>Lukas</x:v>
      </x:c>
      <x:c r="D8" s="20" t="str">
        <x:v>Istvan</x:v>
      </x:c>
      <x:c r="E8" s="20" t="str">
        <x:v>Completed</x:v>
      </x:c>
      <x:c r="F8" s="26" t="n">
        <x:v>46188</x:v>
      </x:c>
      <x:c r="G8" s="26" t="n">
        <x:v>46188</x:v>
      </x:c>
      <x:c r="H8" s="26" t="n">
        <x:v>46188</x:v>
      </x:c>
      <x:c r="I8" s="20" t="str">
        <x:v>Wwise-ready Unity project</x:v>
      </x:c>
      <x:c r="J8" s="20" t="str">
        <x:v>Generated banks local</x:v>
      </x:c>
      <x:c r="L8" s="20" t="str">
        <x:v>Max</x:v>
      </x:c>
      <x:c r="M8" s="20" t="n">
        <x:f>COUNTIF($C$6:$C$35,L8)</x:f>
        <x:v>5</x:v>
      </x:c>
      <x:c r="N8" s="20" t="n">
        <x:f>COUNTIFS($C$6:$C$35,L8,$E$6:$E$35,"Completed")</x:f>
        <x:v>3</x:v>
      </x:c>
      <x:c r="O8" s="24" t="n">
        <x:f>IF(M8=0,0,N8/M8)</x:f>
        <x:v>0.6</x:v>
      </x:c>
    </x:row>
    <x:row r="9">
      <x:c r="A9" s="20" t="str">
        <x:v>Gameplay Systems</x:v>
      </x:c>
      <x:c r="B9" s="20" t="str">
        <x:v>Implement FPS movement and Input System callbacks</x:v>
      </x:c>
      <x:c r="C9" s="20" t="str">
        <x:v>Lukas</x:v>
      </x:c>
      <x:c r="D9" s="20" t="str">
        <x:v>Max</x:v>
      </x:c>
      <x:c r="E9" s="20" t="str">
        <x:v>Completed</x:v>
      </x:c>
      <x:c r="F9" s="26" t="n">
        <x:v>46188</x:v>
      </x:c>
      <x:c r="G9" s="26" t="n">
        <x:v>46189</x:v>
      </x:c>
      <x:c r="H9" s="26" t="n">
        <x:v>46189</x:v>
      </x:c>
      <x:c r="I9" s="20" t="str">
        <x:v>Playable FPS controller</x:v>
      </x:c>
      <x:c r="J9" s="20" t="str">
        <x:v>WASD, look, sprint, jump</x:v>
      </x:c>
      <x:c r="L9" s="21" t="str">
        <x:v>Istvan</x:v>
      </x:c>
      <x:c r="M9" s="21" t="n">
        <x:f>COUNTIF($C$6:$C$35,L9)</x:f>
        <x:v>3</x:v>
      </x:c>
      <x:c r="N9" s="21" t="n">
        <x:f>COUNTIFS($C$6:$C$35,L9,$E$6:$E$35,"Completed")</x:f>
        <x:v>2</x:v>
      </x:c>
      <x:c r="O9" s="25" t="n">
        <x:f>IF(M9=0,0,N9/M9)</x:f>
        <x:v>0.6666666666666666</x:v>
      </x:c>
    </x:row>
    <x:row r="10">
      <x:c r="A10" s="20" t="str">
        <x:v>Gameplay Systems</x:v>
      </x:c>
      <x:c r="B10" s="20" t="str">
        <x:v>Implement weapon definitions, switching, and projectiles</x:v>
      </x:c>
      <x:c r="C10" s="20" t="str">
        <x:v>Max</x:v>
      </x:c>
      <x:c r="D10" s="20" t="str">
        <x:v>Lukas</x:v>
      </x:c>
      <x:c r="E10" s="20" t="str">
        <x:v>Completed</x:v>
      </x:c>
      <x:c r="F10" s="26" t="n">
        <x:v>46189</x:v>
      </x:c>
      <x:c r="G10" s="26" t="n">
        <x:v>46190</x:v>
      </x:c>
      <x:c r="H10" s="26" t="n">
        <x:v>46190</x:v>
      </x:c>
      <x:c r="I10" s="20" t="str">
        <x:v>WeaponSystem and four weapons</x:v>
      </x:c>
      <x:c r="J10" s="20" t="str">
        <x:v>Includes tracers and HUD</x:v>
      </x:c>
    </x:row>
    <x:row r="11">
      <x:c r="A11" s="20" t="str">
        <x:v>Gameplay Systems</x:v>
      </x:c>
      <x:c r="B11" s="20" t="str">
        <x:v>Implement enemy health, movement, and contact damage</x:v>
      </x:c>
      <x:c r="C11" s="20" t="str">
        <x:v>Lukas</x:v>
      </x:c>
      <x:c r="D11" s="20" t="str">
        <x:v>Max</x:v>
      </x:c>
      <x:c r="E11" s="20" t="str">
        <x:v>Completed</x:v>
      </x:c>
      <x:c r="F11" s="26" t="n">
        <x:v>46188</x:v>
      </x:c>
      <x:c r="G11" s="26" t="n">
        <x:v>46191</x:v>
      </x:c>
      <x:c r="H11" s="26" t="n">
        <x:v>46191</x:v>
      </x:c>
      <x:c r="I11" s="20" t="str">
        <x:v>Fish and pigeon gameplay</x:v>
      </x:c>
      <x:c r="J11" s="20" t="str">
        <x:v>Two movement modes</x:v>
      </x:c>
    </x:row>
    <x:row r="12">
      <x:c r="A12" s="20" t="str">
        <x:v>Gameplay Systems</x:v>
      </x:c>
      <x:c r="B12" s="20" t="str">
        <x:v>Implement shop and data-driven upgrades</x:v>
      </x:c>
      <x:c r="C12" s="20" t="str">
        <x:v>Max</x:v>
      </x:c>
      <x:c r="D12" s="20" t="str">
        <x:v>Lukas</x:v>
      </x:c>
      <x:c r="E12" s="20" t="str">
        <x:v>Completed</x:v>
      </x:c>
      <x:c r="F12" s="26" t="n">
        <x:v>46190</x:v>
      </x:c>
      <x:c r="G12" s="26" t="n">
        <x:v>46190</x:v>
      </x:c>
      <x:c r="H12" s="26" t="n">
        <x:v>46190</x:v>
      </x:c>
      <x:c r="I12" s="20" t="str">
        <x:v>ShopManager and upgrade assets</x:v>
      </x:c>
      <x:c r="J12" s="20" t="str">
        <x:v>Includes ricochet master upgrade</x:v>
      </x:c>
      <x:c r="L12" s="9" t="str">
        <x:v>PHASE SUMMARY</x:v>
      </x:c>
      <x:c r="M12" s="9"/>
      <x:c r="N12" s="9"/>
      <x:c r="O12" s="9"/>
    </x:row>
    <x:row r="13">
      <x:c r="A13" s="20" t="str">
        <x:v>Gameplay Systems</x:v>
      </x:c>
      <x:c r="B13" s="20" t="str">
        <x:v>Implement augment draft and round modifiers</x:v>
      </x:c>
      <x:c r="C13" s="20" t="str">
        <x:v>Max</x:v>
      </x:c>
      <x:c r="D13" s="20" t="str">
        <x:v>Lukas</x:v>
      </x:c>
      <x:c r="E13" s="20" t="str">
        <x:v>Completed</x:v>
      </x:c>
      <x:c r="F13" s="26" t="n">
        <x:v>46190</x:v>
      </x:c>
      <x:c r="G13" s="26" t="n">
        <x:v>46190</x:v>
      </x:c>
      <x:c r="H13" s="26" t="n">
        <x:v>46190</x:v>
      </x:c>
      <x:c r="I13" s="20" t="str">
        <x:v>Three-choice round reward</x:v>
      </x:c>
      <x:c r="J13" s="20" t="str">
        <x:v>Tailwind, Repair Kit, Swarm, Bruisers</x:v>
      </x:c>
      <x:c r="L13" s="14" t="str">
        <x:v>Phase</x:v>
      </x:c>
      <x:c r="M13" s="14" t="str">
        <x:v>Tasks</x:v>
      </x:c>
      <x:c r="N13" s="14" t="str">
        <x:v>Completed</x:v>
      </x:c>
      <x:c r="O13" s="14" t="str">
        <x:v>Completion</x:v>
      </x:c>
    </x:row>
    <x:row r="14">
      <x:c r="A14" s="20" t="str">
        <x:v>Gameplay Systems</x:v>
      </x:c>
      <x:c r="B14" s="20" t="str">
        <x:v>Implement physical ferry movement procedure</x:v>
      </x:c>
      <x:c r="C14" s="20" t="str">
        <x:v>Lukas</x:v>
      </x:c>
      <x:c r="D14" s="20" t="str">
        <x:v>Max</x:v>
      </x:c>
      <x:c r="E14" s="20" t="str">
        <x:v>Completed</x:v>
      </x:c>
      <x:c r="F14" s="26" t="n">
        <x:v>46191</x:v>
      </x:c>
      <x:c r="G14" s="26" t="n">
        <x:v>46191</x:v>
      </x:c>
      <x:c r="H14" s="26" t="n">
        <x:v>46191</x:v>
      </x:c>
      <x:c r="I14" s="20" t="str">
        <x:v>Alternating Bézier crossings</x:v>
      </x:c>
      <x:c r="J14" s="20" t="str">
        <x:v>Candidate CG report procedure</x:v>
      </x:c>
      <x:c r="L14" s="20" t="str">
        <x:v>Foundation</x:v>
      </x:c>
      <x:c r="M14" s="20" t="n">
        <x:f>COUNTIF($A$6:$A$35,L14)</x:f>
        <x:v>3</x:v>
      </x:c>
      <x:c r="N14" s="20" t="n">
        <x:f>COUNTIFS($A$6:$A$35,L14,$E$6:$E$35,"Completed")</x:f>
        <x:v>3</x:v>
      </x:c>
      <x:c r="O14" s="24" t="n">
        <x:f>IF(M14=0,0,N14/M14)</x:f>
        <x:v>1</x:v>
      </x:c>
    </x:row>
    <x:row r="15">
      <x:c r="A15" s="20" t="str">
        <x:v>Gameplay Systems</x:v>
      </x:c>
      <x:c r="B15" s="20" t="str">
        <x:v>Implement bootstrap, menu, pause, and game over</x:v>
      </x:c>
      <x:c r="C15" s="20" t="str">
        <x:v>Lukas</x:v>
      </x:c>
      <x:c r="D15" s="20" t="str">
        <x:v>Max</x:v>
      </x:c>
      <x:c r="E15" s="20" t="str">
        <x:v>Completed</x:v>
      </x:c>
      <x:c r="F15" s="26" t="n">
        <x:v>46189</x:v>
      </x:c>
      <x:c r="G15" s="26" t="n">
        <x:v>46191</x:v>
      </x:c>
      <x:c r="H15" s="26" t="n">
        <x:v>46191</x:v>
      </x:c>
      <x:c r="I15" s="20" t="str">
        <x:v>Complete scene/menu framing</x:v>
      </x:c>
      <x:c r="J15" s="20" t="str">
        <x:v>Settings remains placeholder</x:v>
      </x:c>
      <x:c r="L15" s="20" t="str">
        <x:v>Gameplay Systems</x:v>
      </x:c>
      <x:c r="M15" s="20" t="n">
        <x:f>COUNTIF($A$6:$A$35,L15)</x:f>
        <x:v>7</x:v>
      </x:c>
      <x:c r="N15" s="20" t="n">
        <x:f>COUNTIFS($A$6:$A$35,L15,$E$6:$E$35,"Completed")</x:f>
        <x:v>7</x:v>
      </x:c>
      <x:c r="O15" s="24" t="n">
        <x:f>IF(M15=0,0,N15/M15)</x:f>
        <x:v>1</x:v>
      </x:c>
    </x:row>
    <x:row r="16">
      <x:c r="A16" s="20" t="str">
        <x:v>3D and Animation</x:v>
      </x:c>
      <x:c r="B16" s="20" t="str">
        <x:v>Model and texture Captain Fraunz</x:v>
      </x:c>
      <x:c r="C16" s="20" t="str">
        <x:v>Philip</x:v>
      </x:c>
      <x:c r="D16" s="20" t="str">
        <x:v>Lukas</x:v>
      </x:c>
      <x:c r="E16" s="20" t="str">
        <x:v>Completed</x:v>
      </x:c>
      <x:c r="F16" s="26" t="n">
        <x:v>46188</x:v>
      </x:c>
      <x:c r="G16" s="26" t="n">
        <x:v>46193</x:v>
      </x:c>
      <x:c r="H16" s="26" t="n">
        <x:v>46193</x:v>
      </x:c>
      <x:c r="I16" s="20" t="str">
        <x:v>Rigged and textured humanoid</x:v>
      </x:c>
      <x:c r="J16" s="20" t="str">
        <x:v>Self-made</x:v>
      </x:c>
      <x:c r="L16" s="20" t="str">
        <x:v>3D and Animation</x:v>
      </x:c>
      <x:c r="M16" s="20" t="n">
        <x:f>COUNTIF($A$6:$A$35,L16)</x:f>
        <x:v>5</x:v>
      </x:c>
      <x:c r="N16" s="20" t="n">
        <x:f>COUNTIFS($A$6:$A$35,L16,$E$6:$E$35,"Completed")</x:f>
        <x:v>4</x:v>
      </x:c>
      <x:c r="O16" s="24" t="n">
        <x:f>IF(M16=0,0,N16/M16)</x:f>
        <x:v>0.8</x:v>
      </x:c>
    </x:row>
    <x:row r="17">
      <x:c r="A17" s="20" t="str">
        <x:v>3D and Animation</x:v>
      </x:c>
      <x:c r="B17" s="20" t="str">
        <x:v>Create Fraunz idle and walk animation workflow</x:v>
      </x:c>
      <x:c r="C17" s="20" t="str">
        <x:v>Philip</x:v>
      </x:c>
      <x:c r="D17" s="20" t="str">
        <x:v>Lukas</x:v>
      </x:c>
      <x:c r="E17" s="20" t="str">
        <x:v>Completed</x:v>
      </x:c>
      <x:c r="F17" s="26" t="n">
        <x:v>46188</x:v>
      </x:c>
      <x:c r="G17" s="26" t="n">
        <x:v>46193</x:v>
      </x:c>
      <x:c r="H17" s="26" t="n">
        <x:v>46193</x:v>
      </x:c>
      <x:c r="I17" s="20" t="str">
        <x:v>Animated player character</x:v>
      </x:c>
      <x:c r="J17" s="20" t="str">
        <x:v>Action animation still required</x:v>
      </x:c>
      <x:c r="L17" s="20" t="str">
        <x:v>Audio</x:v>
      </x:c>
      <x:c r="M17" s="20" t="n">
        <x:f>COUNTIF($A$6:$A$35,L17)</x:f>
        <x:v>3</x:v>
      </x:c>
      <x:c r="N17" s="20" t="n">
        <x:f>COUNTIFS($A$6:$A$35,L17,$E$6:$E$35,"Completed")</x:f>
        <x:v>2</x:v>
      </x:c>
      <x:c r="O17" s="24" t="n">
        <x:f>IF(M17=0,0,N17/M17)</x:f>
        <x:v>0.6666666666666666</x:v>
      </x:c>
    </x:row>
    <x:row r="18">
      <x:c r="A18" s="20" t="str">
        <x:v>3D and Animation</x:v>
      </x:c>
      <x:c r="B18" s="20" t="str">
        <x:v>Create fish model, texture, rig, and animation</x:v>
      </x:c>
      <x:c r="C18" s="20" t="str">
        <x:v>Philip</x:v>
      </x:c>
      <x:c r="D18" s="20" t="str">
        <x:v>Lukas</x:v>
      </x:c>
      <x:c r="E18" s="20" t="str">
        <x:v>Completed</x:v>
      </x:c>
      <x:c r="F18" s="26" t="n">
        <x:v>46189</x:v>
      </x:c>
      <x:c r="G18" s="26" t="n">
        <x:v>46191</x:v>
      </x:c>
      <x:c r="H18" s="26" t="n">
        <x:v>46191</x:v>
      </x:c>
      <x:c r="I18" s="20" t="str">
        <x:v>Animated fish enemy</x:v>
      </x:c>
      <x:c r="J18" s="20" t="str">
        <x:v>Includes contact explosion asset</x:v>
      </x:c>
      <x:c r="L18" s="20" t="str">
        <x:v>Integration</x:v>
      </x:c>
      <x:c r="M18" s="20" t="n">
        <x:f>COUNTIF($A$6:$A$35,L18)</x:f>
        <x:v>4</x:v>
      </x:c>
      <x:c r="N18" s="20" t="n">
        <x:f>COUNTIFS($A$6:$A$35,L18,$E$6:$E$35,"Completed")</x:f>
        <x:v>4</x:v>
      </x:c>
      <x:c r="O18" s="24" t="n">
        <x:f>IF(M18=0,0,N18/M18)</x:f>
        <x:v>1</x:v>
      </x:c>
    </x:row>
    <x:row r="19">
      <x:c r="A19" s="20" t="str">
        <x:v>3D and Animation</x:v>
      </x:c>
      <x:c r="B19" s="20" t="str">
        <x:v>Create pigeon model, texture, rig, and animation</x:v>
      </x:c>
      <x:c r="C19" s="20" t="str">
        <x:v>Philip</x:v>
      </x:c>
      <x:c r="D19" s="20" t="str">
        <x:v>Lukas</x:v>
      </x:c>
      <x:c r="E19" s="20" t="str">
        <x:v>Completed</x:v>
      </x:c>
      <x:c r="F19" s="26" t="n">
        <x:v>46189</x:v>
      </x:c>
      <x:c r="G19" s="26" t="n">
        <x:v>46191</x:v>
      </x:c>
      <x:c r="H19" s="26" t="n">
        <x:v>46191</x:v>
      </x:c>
      <x:c r="I19" s="20" t="str">
        <x:v>Animated pigeon enemy</x:v>
      </x:c>
      <x:c r="J19" s="20" t="str">
        <x:v>AlwaysAnimate in Unity</x:v>
      </x:c>
      <x:c r="L19" s="21" t="str">
        <x:v>Polish and Delivery</x:v>
      </x:c>
      <x:c r="M19" s="21" t="n">
        <x:f>COUNTIF($A$6:$A$35,L19)</x:f>
        <x:v>8</x:v>
      </x:c>
      <x:c r="N19" s="21" t="n">
        <x:f>COUNTIFS($A$6:$A$35,L19,$E$6:$E$35,"Completed")</x:f>
        <x:v>2</x:v>
      </x:c>
      <x:c r="O19" s="25" t="n">
        <x:f>IF(M19=0,0,N19/M19)</x:f>
        <x:v>0.25</x:v>
      </x:c>
    </x:row>
    <x:row r="20">
      <x:c r="A20" s="20" t="str">
        <x:v>3D and Animation</x:v>
      </x:c>
      <x:c r="B20" s="20" t="str">
        <x:v>Model ferry and scene props</x:v>
      </x:c>
      <x:c r="C20" s="20" t="str">
        <x:v>Philip</x:v>
      </x:c>
      <x:c r="D20" s="20" t="str">
        <x:v>Istvan, Lukas</x:v>
      </x:c>
      <x:c r="E20" s="20" t="str">
        <x:v>In Progress</x:v>
      </x:c>
      <x:c r="F20" s="26" t="n">
        <x:v>46188</x:v>
      </x:c>
      <x:c r="G20" s="26" t="n">
        <x:v>46197</x:v>
      </x:c>
      <x:c r="H20" s="26" t="n">
        <x:v>46197</x:v>
      </x:c>
      <x:c r="I20" s="20" t="str">
        <x:v>Ferry, jetty, shop house, vending machine</x:v>
      </x:c>
      <x:c r="J20" s="20" t="str">
        <x:v>Final texture/authorship QA pending</x:v>
      </x:c>
    </x:row>
    <x:row r="21">
      <x:c r="A21" s="20" t="str">
        <x:v>Audio</x:v>
      </x:c>
      <x:c r="B21" s="20" t="str">
        <x:v>Create Wwise project, containers, events, and bank</x:v>
      </x:c>
      <x:c r="C21" s="20" t="str">
        <x:v>Istvan</x:v>
      </x:c>
      <x:c r="D21" s="20" t="str">
        <x:v>Lukas</x:v>
      </x:c>
      <x:c r="E21" s="20" t="str">
        <x:v>Completed</x:v>
      </x:c>
      <x:c r="F21" s="26" t="n">
        <x:v>46190</x:v>
      </x:c>
      <x:c r="G21" s="26" t="n">
        <x:v>46191</x:v>
      </x:c>
      <x:c r="H21" s="26" t="n">
        <x:v>46191</x:v>
      </x:c>
      <x:c r="I21" s="20" t="str">
        <x:v>MainSoundBank and authored events</x:v>
      </x:c>
      <x:c r="J21" s="20" t="str">
        <x:v>Steps and voice assets</x:v>
      </x:c>
    </x:row>
    <x:row r="22">
      <x:c r="A22" s="20" t="str">
        <x:v>Audio</x:v>
      </x:c>
      <x:c r="B22" s="20" t="str">
        <x:v>Integrate walking and sprint footsteps</x:v>
      </x:c>
      <x:c r="C22" s="20" t="str">
        <x:v>Istvan</x:v>
      </x:c>
      <x:c r="D22" s="20" t="str">
        <x:v>Lukas</x:v>
      </x:c>
      <x:c r="E22" s="20" t="str">
        <x:v>Completed</x:v>
      </x:c>
      <x:c r="F22" s="26" t="n">
        <x:v>46191</x:v>
      </x:c>
      <x:c r="G22" s="26" t="n">
        <x:v>46191</x:v>
      </x:c>
      <x:c r="H22" s="26" t="n">
        <x:v>46191</x:v>
      </x:c>
      <x:c r="I22" s="20" t="str">
        <x:v>Wwise footstep feedback</x:v>
      </x:c>
      <x:c r="J22" s="20" t="str">
        <x:v>Engine initialization guarded</x:v>
      </x:c>
    </x:row>
    <x:row r="23">
      <x:c r="A23" s="20" t="str">
        <x:v>Audio</x:v>
      </x:c>
      <x:c r="B23" s="20" t="str">
        <x:v>Add spatialized environment and gameplay sounds</x:v>
      </x:c>
      <x:c r="C23" s="20" t="str">
        <x:v>Istvan</x:v>
      </x:c>
      <x:c r="D23" s="20" t="str">
        <x:v>Lukas</x:v>
      </x:c>
      <x:c r="E23" s="20" t="str">
        <x:v>In Progress</x:v>
      </x:c>
      <x:c r="F23" s="26" t="n">
        <x:v>46195</x:v>
      </x:c>
      <x:c r="G23" s="26" t="n">
        <x:v>46197</x:v>
      </x:c>
      <x:c r="H23" s="26" t="n">
        <x:v>46197</x:v>
      </x:c>
      <x:c r="I23" s="20" t="str">
        <x:v>Complete expected sound coverage</x:v>
      </x:c>
      <x:c r="J23" s="20" t="str">
        <x:v>Provisional dates</x:v>
      </x:c>
    </x:row>
    <x:row r="24">
      <x:c r="A24" s="20" t="str">
        <x:v>Integration</x:v>
      </x:c>
      <x:c r="B24" s="20" t="str">
        <x:v>Create terrain, river water, skybox, and shore layout</x:v>
      </x:c>
      <x:c r="C24" s="20" t="str">
        <x:v>Lukas</x:v>
      </x:c>
      <x:c r="D24" s="20" t="str">
        <x:v>Philip</x:v>
      </x:c>
      <x:c r="E24" s="20" t="str">
        <x:v>Completed</x:v>
      </x:c>
      <x:c r="F24" s="26" t="n">
        <x:v>46189</x:v>
      </x:c>
      <x:c r="G24" s="26" t="n">
        <x:v>46194</x:v>
      </x:c>
      <x:c r="H24" s="26" t="n">
        <x:v>46194</x:v>
      </x:c>
      <x:c r="I24" s="20" t="str">
        <x:v>Low-poly river environment</x:v>
      </x:c>
      <x:c r="J24" s="20" t="str">
        <x:v>TerrainData tracked by LFS</x:v>
      </x:c>
    </x:row>
    <x:row r="25">
      <x:c r="A25" s="20" t="str">
        <x:v>Integration</x:v>
      </x:c>
      <x:c r="B25" s="20" t="str">
        <x:v>Integrate character and enemy prefabs</x:v>
      </x:c>
      <x:c r="C25" s="20" t="str">
        <x:v>Lukas</x:v>
      </x:c>
      <x:c r="D25" s="20" t="str">
        <x:v>Philip</x:v>
      </x:c>
      <x:c r="E25" s="20" t="str">
        <x:v>Completed</x:v>
      </x:c>
      <x:c r="F25" s="26" t="n">
        <x:v>46190</x:v>
      </x:c>
      <x:c r="G25" s="26" t="n">
        <x:v>46193</x:v>
      </x:c>
      <x:c r="H25" s="26" t="n">
        <x:v>46193</x:v>
      </x:c>
      <x:c r="I25" s="20" t="str">
        <x:v>Gameplay-ready self-made assets</x:v>
      </x:c>
      <x:c r="J25" s="20" t="str">
        <x:v>Animation roots kept stable</x:v>
      </x:c>
    </x:row>
    <x:row r="26">
      <x:c r="A26" s="20" t="str">
        <x:v>Integration</x:v>
      </x:c>
      <x:c r="B26" s="20" t="str">
        <x:v>Create shared additive shop interior</x:v>
      </x:c>
      <x:c r="C26" s="20" t="str">
        <x:v>Lukas</x:v>
      </x:c>
      <x:c r="D26" s="20" t="str">
        <x:v>Max</x:v>
      </x:c>
      <x:c r="E26" s="20" t="str">
        <x:v>Completed</x:v>
      </x:c>
      <x:c r="F26" s="26" t="n">
        <x:v>46192</x:v>
      </x:c>
      <x:c r="G26" s="26" t="n">
        <x:v>46194</x:v>
      </x:c>
      <x:c r="H26" s="26" t="n">
        <x:v>46194</x:v>
      </x:c>
      <x:c r="I26" s="20" t="str">
        <x:v>Second scene with persistent run state</x:v>
      </x:c>
      <x:c r="J26" s="20" t="str">
        <x:v>Both shore entrances supported</x:v>
      </x:c>
    </x:row>
    <x:row r="27">
      <x:c r="A27" s="20" t="str">
        <x:v>Integration</x:v>
      </x:c>
      <x:c r="B27" s="20" t="str">
        <x:v>Maintain architecture, setup, and task documentation</x:v>
      </x:c>
      <x:c r="C27" s="20" t="str">
        <x:v>Lukas</x:v>
      </x:c>
      <x:c r="D27" s="20" t="str">
        <x:v>Max</x:v>
      </x:c>
      <x:c r="E27" s="20" t="str">
        <x:v>Completed</x:v>
      </x:c>
      <x:c r="F27" s="26" t="n">
        <x:v>46188</x:v>
      </x:c>
      <x:c r="G27" s="26" t="n">
        <x:v>46194</x:v>
      </x:c>
      <x:c r="H27" s="26" t="n">
        <x:v>46194</x:v>
      </x:c>
      <x:c r="I27" s="20" t="str">
        <x:v>Current project knowledge base</x:v>
      </x:c>
      <x:c r="J27" s="20" t="str">
        <x:v>Updated with gameplay changes</x:v>
      </x:c>
    </x:row>
    <x:row r="28">
      <x:c r="A28" s="20" t="str">
        <x:v>Polish and Delivery</x:v>
      </x:c>
      <x:c r="B28" s="20" t="str">
        <x:v>Complete Fraunz action animation</x:v>
      </x:c>
      <x:c r="C28" s="20" t="str">
        <x:v>Philip</x:v>
      </x:c>
      <x:c r="D28" s="20" t="str">
        <x:v>Lukas</x:v>
      </x:c>
      <x:c r="E28" s="20" t="str">
        <x:v>In Progress</x:v>
      </x:c>
      <x:c r="F28" s="26" t="n">
        <x:v>46195</x:v>
      </x:c>
      <x:c r="G28" s="26" t="n">
        <x:v>46197</x:v>
      </x:c>
      <x:c r="H28" s="26" t="n">
        <x:v>46197</x:v>
      </x:c>
      <x:c r="I28" s="20" t="str">
        <x:v>Required third humanoid animation</x:v>
      </x:c>
      <x:c r="J28" s="20" t="str">
        <x:v>Provisional dates</x:v>
      </x:c>
    </x:row>
    <x:row r="29">
      <x:c r="A29" s="20" t="str">
        <x:v>Polish and Delivery</x:v>
      </x:c>
      <x:c r="B29" s="20" t="str">
        <x:v>Balance enemies, weapons, shop, and augments</x:v>
      </x:c>
      <x:c r="C29" s="20" t="str">
        <x:v>Max</x:v>
      </x:c>
      <x:c r="D29" s="20" t="str">
        <x:v>Lukas</x:v>
      </x:c>
      <x:c r="E29" s="20" t="str">
        <x:v>Planned</x:v>
      </x:c>
      <x:c r="F29" s="26" t="n">
        <x:v>46195</x:v>
      </x:c>
      <x:c r="G29" s="26" t="n">
        <x:v>46197</x:v>
      </x:c>
      <x:c r="H29" s="26" t="n">
        <x:v>46197</x:v>
      </x:c>
      <x:c r="I29" s="20" t="str">
        <x:v>Tuned final loop</x:v>
      </x:c>
      <x:c r="J29" s="20" t="str">
        <x:v>Provisional dates</x:v>
      </x:c>
    </x:row>
    <x:row r="30">
      <x:c r="A30" s="20" t="str">
        <x:v>Polish and Delivery</x:v>
      </x:c>
      <x:c r="B30" s="20" t="str">
        <x:v>Add ferry damage feedback and final UI polish</x:v>
      </x:c>
      <x:c r="C30" s="20" t="str">
        <x:v>Max</x:v>
      </x:c>
      <x:c r="D30" s="20" t="str">
        <x:v>Lukas</x:v>
      </x:c>
      <x:c r="E30" s="20" t="str">
        <x:v>Planned</x:v>
      </x:c>
      <x:c r="F30" s="26" t="n">
        <x:v>46195</x:v>
      </x:c>
      <x:c r="G30" s="26" t="n">
        <x:v>46197</x:v>
      </x:c>
      <x:c r="H30" s="26" t="n">
        <x:v>46197</x:v>
      </x:c>
      <x:c r="I30" s="20" t="str">
        <x:v>Readable final HUD feedback</x:v>
      </x:c>
      <x:c r="J30" s="20" t="str">
        <x:v>Provisional dates</x:v>
      </x:c>
    </x:row>
    <x:row r="31">
      <x:c r="A31" s="20" t="str">
        <x:v>Polish and Delivery</x:v>
      </x:c>
      <x:c r="B31" s="20" t="str">
        <x:v>Update Assignment 2 ePortfolio</x:v>
      </x:c>
      <x:c r="C31" s="20" t="str">
        <x:v>Lukas</x:v>
      </x:c>
      <x:c r="D31" s="20" t="str">
        <x:v>All</x:v>
      </x:c>
      <x:c r="E31" s="20" t="str">
        <x:v>Completed</x:v>
      </x:c>
      <x:c r="F31" s="26" t="n">
        <x:v>46194</x:v>
      </x:c>
      <x:c r="G31" s="26" t="n">
        <x:v>46194</x:v>
      </x:c>
      <x:c r="H31" s="26" t="n">
        <x:v>46194</x:v>
      </x:c>
      <x:c r="I31" s="20" t="str">
        <x:v>GitHub Pages documentation</x:v>
      </x:c>
      <x:c r="J31" s="20" t="str">
        <x:v>Screenshots pending</x:v>
      </x:c>
    </x:row>
    <x:row r="32">
      <x:c r="A32" s="20" t="str">
        <x:v>Polish and Delivery</x:v>
      </x:c>
      <x:c r="B32" s="20" t="str">
        <x:v>Create time plan and task distribution</x:v>
      </x:c>
      <x:c r="C32" s="20" t="str">
        <x:v>Lukas</x:v>
      </x:c>
      <x:c r="D32" s="20" t="str">
        <x:v>All</x:v>
      </x:c>
      <x:c r="E32" s="20" t="str">
        <x:v>Completed</x:v>
      </x:c>
      <x:c r="F32" s="26" t="n">
        <x:v>46194</x:v>
      </x:c>
      <x:c r="G32" s="26" t="n">
        <x:v>46194</x:v>
      </x:c>
      <x:c r="H32" s="26" t="n">
        <x:v>46194</x:v>
      </x:c>
      <x:c r="I32" s="20" t="str">
        <x:v>Assignment 2 spreadsheet</x:v>
      </x:c>
      <x:c r="J32" s="20" t="str">
        <x:v>This workbook</x:v>
      </x:c>
    </x:row>
    <x:row r="33">
      <x:c r="A33" s="20" t="str">
        <x:v>Polish and Delivery</x:v>
      </x:c>
      <x:c r="B33" s="20" t="str">
        <x:v>Write C#/graphics procedure report</x:v>
      </x:c>
      <x:c r="C33" s="20" t="str">
        <x:v>Lukas</x:v>
      </x:c>
      <x:c r="D33" s="20" t="str">
        <x:v>Max</x:v>
      </x:c>
      <x:c r="E33" s="20" t="str">
        <x:v>In Progress</x:v>
      </x:c>
      <x:c r="F33" s="26" t="n">
        <x:v>46195</x:v>
      </x:c>
      <x:c r="G33" s="26" t="n">
        <x:v>46199</x:v>
      </x:c>
      <x:c r="H33" s="26" t="n">
        <x:v>46199</x:v>
      </x:c>
      <x:c r="I33" s="20" t="str">
        <x:v>Markdown report</x:v>
      </x:c>
      <x:c r="J33" s="20" t="str">
        <x:v>Bézier ferry movement</x:v>
      </x:c>
    </x:row>
    <x:row r="34">
      <x:c r="A34" s="20" t="str">
        <x:v>Polish and Delivery</x:v>
      </x:c>
      <x:c r="B34" s="20" t="str">
        <x:v>Build and test executable application</x:v>
      </x:c>
      <x:c r="C34" s="20" t="str">
        <x:v>Lukas</x:v>
      </x:c>
      <x:c r="D34" s="20" t="str">
        <x:v>Max</x:v>
      </x:c>
      <x:c r="E34" s="20" t="str">
        <x:v>Planned</x:v>
      </x:c>
      <x:c r="F34" s="26" t="n">
        <x:v>46198</x:v>
      </x:c>
      <x:c r="G34" s="26" t="n">
        <x:v>46198</x:v>
      </x:c>
      <x:c r="H34" s="26" t="n">
        <x:v>46198</x:v>
      </x:c>
      <x:c r="I34" s="20" t="str">
        <x:v>ProjectName_Binary.zip</x:v>
      </x:c>
      <x:c r="J34" s="20" t="str">
        <x:v>Provisional dates</x:v>
      </x:c>
    </x:row>
    <x:row r="35">
      <x:c r="A35" s="21" t="str">
        <x:v>Polish and Delivery</x:v>
      </x:c>
      <x:c r="B35" s="21" t="str">
        <x:v>Prepare presentation and live-demo script</x:v>
      </x:c>
      <x:c r="C35" s="21" t="str">
        <x:v>Lukas</x:v>
      </x:c>
      <x:c r="D35" s="21" t="str">
        <x:v>All</x:v>
      </x:c>
      <x:c r="E35" s="21" t="str">
        <x:v>Planned</x:v>
      </x:c>
      <x:c r="F35" s="27" t="n">
        <x:v>46197</x:v>
      </x:c>
      <x:c r="G35" s="27" t="n">
        <x:v>46199</x:v>
      </x:c>
      <x:c r="H35" s="27" t="n">
        <x:v>46199</x:v>
      </x:c>
      <x:c r="I35" s="21" t="str">
        <x:v>15-minute final presentation</x:v>
      </x:c>
      <x:c r="J35" s="21" t="str">
        <x:v>Provisional dates</x:v>
      </x:c>
    </x:row>
  </x:sheetData>
  <x:mergeCells>
    <x:mergeCell ref="A1:O1"/>
    <x:mergeCell ref="A2:O2"/>
    <x:mergeCell ref="L4:O4"/>
    <x:mergeCell ref="L12:O12"/>
  </x:mergeCells>
  <x:conditionalFormatting sqref="E6:E35">
    <x:cfRule type="containsText" dxfId="6" priority="1" operator="containsText" text="Completed"/>
    <x:cfRule type="containsText" dxfId="7" priority="2" operator="containsText" text="In Progress"/>
    <x:cfRule type="containsText" dxfId="8" priority="3" operator="containsText" text="Planned"/>
  </x:conditionalFormatting>
  <x:dataValidations count="2">
    <x:dataValidation type="list" sqref="C6:C35">
      <x:formula1>"Lukas,Philip,Max,Istvan"</x:formula1>
    </x:dataValidation>
    <x:dataValidation type="list" sqref="E6:E35">
      <x:formula1>"Completed,In Progress,Planned"</x:formula1>
    </x:dataValidation>
  </x:dataValidations>
  <x:pageMargins left="0.7" right="0.7" top="0.75" bottom="0.75" header="0.3" footer="0.3"/>
</x:worksheet>
</file>